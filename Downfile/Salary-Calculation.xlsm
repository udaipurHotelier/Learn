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15570" windowHeight="9735" activeTab="2"/>
  </bookViews>
  <sheets>
    <sheet name="Database" sheetId="61" r:id="rId1"/>
    <sheet name="Consolidation" sheetId="62" r:id="rId2"/>
    <sheet name="Salary Slip" sheetId="1" r:id="rId3"/>
  </sheets>
  <functionGroups builtInGroupCount="17"/>
  <definedNames>
    <definedName name="_xlnm.Database">Database!$A$1:$AZ$88</definedName>
    <definedName name="_xlnm.Print_Area" localSheetId="1">Consolidation!$A$1:$R$26</definedName>
    <definedName name="_xlnm.Print_Area" localSheetId="2">'Salary Slip'!$A$1:$N$27</definedName>
  </definedNames>
  <calcPr calcId="144525"/>
</workbook>
</file>

<file path=xl/calcChain.xml><?xml version="1.0" encoding="utf-8"?>
<calcChain xmlns="http://schemas.openxmlformats.org/spreadsheetml/2006/main">
  <c r="B12" i="62" l="1"/>
  <c r="C13" i="61"/>
  <c r="D13" i="61"/>
  <c r="H13" i="61"/>
  <c r="P13" i="61" s="1"/>
  <c r="H14" i="62" s="1"/>
  <c r="AE13" i="61"/>
  <c r="AF13" i="61"/>
  <c r="B14" i="62"/>
  <c r="C14" i="62"/>
  <c r="J14" i="62"/>
  <c r="K14" i="62"/>
  <c r="N14" i="62"/>
  <c r="O14" i="62"/>
  <c r="P14" i="62"/>
  <c r="O13" i="61" l="1"/>
  <c r="G14" i="62" s="1"/>
  <c r="J13" i="61"/>
  <c r="L13" i="61" s="1"/>
  <c r="E14" i="62" s="1"/>
  <c r="B1" i="1"/>
  <c r="A1" i="62" s="1"/>
  <c r="K13" i="61" l="1"/>
  <c r="M13" i="61"/>
  <c r="F14" i="62" s="1"/>
  <c r="AF12" i="61"/>
  <c r="AF11" i="61"/>
  <c r="AF10" i="61"/>
  <c r="AF9" i="61"/>
  <c r="AF8" i="61"/>
  <c r="AF7" i="61"/>
  <c r="AF6" i="61"/>
  <c r="AF5" i="61"/>
  <c r="C12" i="61"/>
  <c r="C11" i="61"/>
  <c r="C10" i="61"/>
  <c r="C9" i="61"/>
  <c r="C8" i="61"/>
  <c r="C7" i="61"/>
  <c r="C6" i="61"/>
  <c r="C5" i="61"/>
  <c r="D12" i="61"/>
  <c r="D11" i="61"/>
  <c r="D10" i="61"/>
  <c r="D9" i="61"/>
  <c r="D8" i="61"/>
  <c r="D7" i="61"/>
  <c r="D6" i="61"/>
  <c r="D5" i="61"/>
  <c r="X13" i="61" l="1"/>
  <c r="D14" i="62"/>
  <c r="T13" i="61"/>
  <c r="R13" i="61" s="1"/>
  <c r="S13" i="61" s="1"/>
  <c r="I14" i="62" s="1"/>
  <c r="J3" i="61"/>
  <c r="W13" i="61" l="1"/>
  <c r="L14" i="62"/>
  <c r="AB13" i="61"/>
  <c r="M14" i="62"/>
  <c r="Q14" i="62" s="1"/>
  <c r="A2" i="62"/>
  <c r="B27" i="1"/>
  <c r="R14" i="62" l="1"/>
  <c r="AC13" i="61"/>
  <c r="B12" i="1"/>
  <c r="Q20" i="1" l="1"/>
  <c r="F19" i="1" s="1"/>
  <c r="AE12" i="61" l="1"/>
  <c r="AE11" i="61"/>
  <c r="AE10" i="61"/>
  <c r="AE9" i="61"/>
  <c r="AE8" i="61"/>
  <c r="AE7" i="61"/>
  <c r="AE6" i="61"/>
  <c r="AE5" i="61"/>
  <c r="AE4" i="61"/>
  <c r="M20" i="62" l="1"/>
  <c r="M17" i="62"/>
  <c r="R3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3" i="62"/>
  <c r="C12" i="62"/>
  <c r="C11" i="62"/>
  <c r="C10" i="62"/>
  <c r="C9" i="62"/>
  <c r="C8" i="62"/>
  <c r="C7" i="62"/>
  <c r="C6" i="62"/>
  <c r="C5" i="62"/>
  <c r="B13" i="62"/>
  <c r="B11" i="62"/>
  <c r="B10" i="62"/>
  <c r="B9" i="62"/>
  <c r="B8" i="62"/>
  <c r="B7" i="62"/>
  <c r="B6" i="62"/>
  <c r="B5" i="62"/>
  <c r="C4" i="1"/>
  <c r="B2" i="1"/>
  <c r="A6" i="62" l="1"/>
  <c r="A7" i="62" s="1"/>
  <c r="A8" i="62" s="1"/>
  <c r="A9" i="62" s="1"/>
  <c r="A10" i="62" s="1"/>
  <c r="A11" i="62" s="1"/>
  <c r="A12" i="62" s="1"/>
  <c r="A13" i="62" s="1"/>
  <c r="A14" i="62" s="1"/>
  <c r="Q21" i="1"/>
  <c r="F17" i="1" s="1"/>
  <c r="Q19" i="1"/>
  <c r="F18" i="1" s="1"/>
  <c r="Q16" i="1"/>
  <c r="Q15" i="1"/>
  <c r="Q7" i="1"/>
  <c r="Q4" i="1"/>
  <c r="Q6" i="1"/>
  <c r="Q5" i="1"/>
  <c r="Q3" i="1" l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H12" i="61" l="1"/>
  <c r="H11" i="61"/>
  <c r="H10" i="61"/>
  <c r="H9" i="61"/>
  <c r="H8" i="61"/>
  <c r="H7" i="61"/>
  <c r="H6" i="61"/>
  <c r="H5" i="61"/>
  <c r="H4" i="61"/>
  <c r="I4" i="1"/>
  <c r="G4" i="1"/>
  <c r="P22" i="1"/>
  <c r="P17" i="1"/>
  <c r="M5" i="1"/>
  <c r="P9" i="61" l="1"/>
  <c r="H10" i="62" s="1"/>
  <c r="O9" i="61"/>
  <c r="J9" i="61"/>
  <c r="K9" i="61" s="1"/>
  <c r="J6" i="61"/>
  <c r="M6" i="61" s="1"/>
  <c r="F7" i="62" s="1"/>
  <c r="P6" i="61"/>
  <c r="H7" i="62" s="1"/>
  <c r="O6" i="61"/>
  <c r="G7" i="62" s="1"/>
  <c r="O10" i="61"/>
  <c r="G11" i="62" s="1"/>
  <c r="P10" i="61"/>
  <c r="H11" i="62" s="1"/>
  <c r="J10" i="61"/>
  <c r="L10" i="61" s="1"/>
  <c r="O11" i="61"/>
  <c r="G12" i="62" s="1"/>
  <c r="J11" i="61"/>
  <c r="K11" i="61" s="1"/>
  <c r="P11" i="61"/>
  <c r="H12" i="62" s="1"/>
  <c r="P5" i="61"/>
  <c r="H6" i="62" s="1"/>
  <c r="J5" i="61"/>
  <c r="M5" i="61" s="1"/>
  <c r="F6" i="62" s="1"/>
  <c r="P7" i="61"/>
  <c r="H8" i="62" s="1"/>
  <c r="J7" i="61"/>
  <c r="K7" i="61" s="1"/>
  <c r="O8" i="61"/>
  <c r="G9" i="62" s="1"/>
  <c r="J8" i="61"/>
  <c r="K8" i="61" s="1"/>
  <c r="P8" i="61"/>
  <c r="H9" i="62" s="1"/>
  <c r="O12" i="61"/>
  <c r="J12" i="61"/>
  <c r="M12" i="61" s="1"/>
  <c r="P12" i="61"/>
  <c r="H13" i="62" s="1"/>
  <c r="P4" i="61"/>
  <c r="H5" i="62" s="1"/>
  <c r="J4" i="61"/>
  <c r="M4" i="61" s="1"/>
  <c r="F5" i="62" s="1"/>
  <c r="N7" i="61"/>
  <c r="N4" i="61"/>
  <c r="N5" i="61"/>
  <c r="G10" i="62"/>
  <c r="G13" i="62"/>
  <c r="L7" i="61" l="1"/>
  <c r="E8" i="62" s="1"/>
  <c r="L12" i="61"/>
  <c r="K12" i="61"/>
  <c r="X12" i="61" s="1"/>
  <c r="M8" i="61"/>
  <c r="F9" i="62" s="1"/>
  <c r="L11" i="61"/>
  <c r="X11" i="61" s="1"/>
  <c r="L9" i="61"/>
  <c r="E10" i="62" s="1"/>
  <c r="L8" i="61"/>
  <c r="E9" i="62" s="1"/>
  <c r="M10" i="61"/>
  <c r="K10" i="61"/>
  <c r="X10" i="61" s="1"/>
  <c r="K6" i="61"/>
  <c r="M7" i="61"/>
  <c r="F8" i="62" s="1"/>
  <c r="M11" i="61"/>
  <c r="M9" i="61"/>
  <c r="F10" i="62" s="1"/>
  <c r="O7" i="61"/>
  <c r="G8" i="62" s="1"/>
  <c r="L6" i="61"/>
  <c r="L5" i="61"/>
  <c r="K5" i="61"/>
  <c r="O5" i="61"/>
  <c r="G6" i="62" s="1"/>
  <c r="X9" i="61"/>
  <c r="O4" i="61"/>
  <c r="G5" i="62" s="1"/>
  <c r="K4" i="61"/>
  <c r="D5" i="62" s="1"/>
  <c r="L4" i="61"/>
  <c r="E5" i="62" s="1"/>
  <c r="D12" i="62"/>
  <c r="D10" i="62"/>
  <c r="D9" i="62"/>
  <c r="D8" i="62"/>
  <c r="Q13" i="1"/>
  <c r="E6" i="62"/>
  <c r="F11" i="62"/>
  <c r="E13" i="62"/>
  <c r="E11" i="62"/>
  <c r="X7" i="61" l="1"/>
  <c r="E12" i="62"/>
  <c r="T11" i="61"/>
  <c r="T12" i="61"/>
  <c r="D13" i="62"/>
  <c r="X6" i="61"/>
  <c r="X8" i="61"/>
  <c r="AB8" i="61" s="1"/>
  <c r="T9" i="61"/>
  <c r="T10" i="61"/>
  <c r="T8" i="61"/>
  <c r="R8" i="61" s="1"/>
  <c r="S8" i="61" s="1"/>
  <c r="T7" i="61"/>
  <c r="E7" i="62"/>
  <c r="F12" i="62"/>
  <c r="T6" i="61"/>
  <c r="X5" i="61"/>
  <c r="T5" i="61"/>
  <c r="Q12" i="1"/>
  <c r="X4" i="61"/>
  <c r="M5" i="62" s="1"/>
  <c r="Q5" i="62" s="1"/>
  <c r="T4" i="61"/>
  <c r="R4" i="61" s="1"/>
  <c r="S4" i="61" s="1"/>
  <c r="AB11" i="61"/>
  <c r="M9" i="62"/>
  <c r="Q9" i="62" s="1"/>
  <c r="D11" i="62"/>
  <c r="D7" i="62"/>
  <c r="D6" i="62"/>
  <c r="Q9" i="1"/>
  <c r="F13" i="62"/>
  <c r="Q10" i="1"/>
  <c r="Q11" i="1"/>
  <c r="AB4" i="61" l="1"/>
  <c r="I9" i="62"/>
  <c r="L9" i="62" s="1"/>
  <c r="R9" i="62" s="1"/>
  <c r="W8" i="61"/>
  <c r="AC8" i="61" s="1"/>
  <c r="R7" i="61"/>
  <c r="S7" i="61" s="1"/>
  <c r="R10" i="61"/>
  <c r="S10" i="61" s="1"/>
  <c r="R5" i="61"/>
  <c r="S5" i="61" s="1"/>
  <c r="R11" i="61"/>
  <c r="S11" i="61" s="1"/>
  <c r="R12" i="61"/>
  <c r="S12" i="61" s="1"/>
  <c r="R9" i="61"/>
  <c r="S9" i="61" s="1"/>
  <c r="R6" i="61"/>
  <c r="S6" i="61" s="1"/>
  <c r="W4" i="61"/>
  <c r="I5" i="62"/>
  <c r="L5" i="62" s="1"/>
  <c r="R5" i="62" s="1"/>
  <c r="M12" i="62"/>
  <c r="Q12" i="62" s="1"/>
  <c r="AB9" i="61"/>
  <c r="M10" i="62"/>
  <c r="Q10" i="62" s="1"/>
  <c r="AB12" i="61"/>
  <c r="M13" i="62"/>
  <c r="Q13" i="62" s="1"/>
  <c r="AB10" i="61"/>
  <c r="M11" i="62"/>
  <c r="Q11" i="62" s="1"/>
  <c r="AB7" i="61"/>
  <c r="M8" i="62"/>
  <c r="Q8" i="62" s="1"/>
  <c r="AB6" i="61"/>
  <c r="M7" i="62"/>
  <c r="Q7" i="62" s="1"/>
  <c r="AB5" i="61"/>
  <c r="M6" i="62"/>
  <c r="Q6" i="62" s="1"/>
  <c r="Q18" i="1"/>
  <c r="AC4" i="61" l="1"/>
  <c r="W5" i="61"/>
  <c r="AC5" i="61" s="1"/>
  <c r="I6" i="62"/>
  <c r="L6" i="62" s="1"/>
  <c r="R6" i="62" s="1"/>
  <c r="I8" i="62"/>
  <c r="L8" i="62" s="1"/>
  <c r="R8" i="62" s="1"/>
  <c r="W7" i="61"/>
  <c r="AC7" i="61" s="1"/>
  <c r="I11" i="62"/>
  <c r="L11" i="62" s="1"/>
  <c r="W10" i="61"/>
  <c r="AC10" i="61" s="1"/>
  <c r="I13" i="62"/>
  <c r="L13" i="62" s="1"/>
  <c r="R13" i="62" s="1"/>
  <c r="W12" i="61"/>
  <c r="AC12" i="61" s="1"/>
  <c r="I10" i="62"/>
  <c r="L10" i="62" s="1"/>
  <c r="R10" i="62" s="1"/>
  <c r="W9" i="61"/>
  <c r="AC9" i="61" s="1"/>
  <c r="W11" i="61"/>
  <c r="AC11" i="61" s="1"/>
  <c r="I12" i="62"/>
  <c r="L12" i="62" s="1"/>
  <c r="R12" i="62" s="1"/>
  <c r="Q14" i="1"/>
  <c r="W6" i="61"/>
  <c r="AC6" i="61" s="1"/>
  <c r="I7" i="62"/>
  <c r="L7" i="62" s="1"/>
  <c r="R7" i="62" s="1"/>
  <c r="R11" i="62"/>
  <c r="Q22" i="1"/>
  <c r="F16" i="1"/>
  <c r="H24" i="1"/>
  <c r="M7" i="1"/>
  <c r="M6" i="1"/>
  <c r="F12" i="1"/>
  <c r="F11" i="1"/>
  <c r="R15" i="62" l="1"/>
  <c r="M8" i="1"/>
  <c r="M9" i="1" s="1"/>
  <c r="F9" i="1" l="1"/>
  <c r="F8" i="1"/>
  <c r="F7" i="1" l="1"/>
  <c r="F6" i="1"/>
  <c r="F10" i="1" l="1"/>
  <c r="H13" i="1" s="1"/>
  <c r="Q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<sst xmlns="http://schemas.openxmlformats.org/spreadsheetml/2006/main" count="176" uniqueCount="113">
  <si>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</si>
  <si>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</si>
  <si>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</si>
  <si>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</si>
  <si>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</si>
  <si>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</si>
  <si>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</si>
  <si>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</si>
  <si>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</si>
  <si>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</si>
  <si>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</si>
  <si>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</si>
  <si>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</si>
  <si>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</si>
  <si>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</si>
  <si>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</si>
  <si>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</si>
  <si>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</si>
  <si>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</si>
  <si>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</si>
  <si>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</si>
  <si>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</si>
  <si>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</si>
  <si>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</si>
  <si>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</si>
  <si>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</si>
  <si>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</si>
  <si>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</si>
  <si>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</si>
  <si>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</si>
  <si>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</si>
  <si>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</si>
  <si>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</si>
  <si>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</si>
  <si>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</si>
  <si>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</si>
  <si>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</si>
  <si>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</si>
  <si>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</si>
  <si>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</si>
  <si>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</si>
  <si>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</si>
  <si>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</si>
  <si>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</si>
  <si>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</si>
  <si>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</si>
  <si>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</si>
  <si>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</si>
  <si>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</si>
  <si>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</si>
  <si>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</si>
  <si>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</si>
  <si>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</si>
  <si>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</si>
  <si>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</si>
  <si>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</si>
  <si>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</si>
  <si>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</si>
  <si>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</si>
  <si>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</si>
  <si>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</si>
  <si>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</si>
  <si>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</si>
  <si>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</si>
  <si>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</si>
  <si>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</si>
  <si>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</si>
  <si>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</si>
  <si>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</si>
  <si>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</si>
  <si>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</si>
  <si>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</si>
  <si>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</si>
  <si>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</si>
  <si>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</si>
  <si>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</si>
  <si>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</si>
  <si>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</si>
  <si>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</si>
  <si>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</si>
  <si>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</si>
  <si>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</si>
  <si>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</si>
  <si>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</si>
  <si>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</si>
  <si>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</si>
  <si>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</si>
  <si>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</si>
  <si>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</si>
  <si>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</si>
  <si>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</si>
  <si>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PF Applicable</t>
  </si>
  <si>
    <t>Profession Tax</t>
  </si>
  <si>
    <t>PROFESSION TAX</t>
  </si>
  <si>
    <t>c.Profession Tax</t>
  </si>
  <si>
    <t>b.Salary Advance</t>
  </si>
  <si>
    <t>TA</t>
  </si>
  <si>
    <t>Yes</t>
  </si>
  <si>
    <t>Medical Bill Submitted</t>
  </si>
  <si>
    <t>Medical Bill Amount</t>
  </si>
  <si>
    <t>Gender</t>
  </si>
  <si>
    <t>Your Company Name</t>
  </si>
  <si>
    <t>Name of Authorised Signatory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</si>
  <si>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</si>
  <si>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</si>
  <si>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</si>
  <si>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</si>
  <si>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</si>
  <si>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</si>
  <si>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</si>
  <si>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</si>
  <si>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</si>
  <si>
    <t>Udaipur Hotelier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</si>
</sst>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0" fillId="0" borderId="0" xfId="0" applyFill="1" applyBorder="1"/>
    <xf numFmtId="0" fontId="16" fillId="34" borderId="10" xfId="0" applyFont="1" applyFill="1" applyBorder="1"/>
    <xf numFmtId="0" fontId="0" fillId="34" borderId="0" xfId="0" applyFill="1"/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18" fillId="0" borderId="0" xfId="0" applyFont="1"/>
    <xf numFmtId="0" fontId="18" fillId="35" borderId="10" xfId="0" applyFont="1" applyFill="1" applyBorder="1"/>
    <xf numFmtId="0" fontId="18" fillId="35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0</xdr:rowOff>
        </xdr:from>
        <xdr:to>
          <xdr:col>1</xdr:col>
          <xdr:colOff>447675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</xdr:row>
          <xdr:rowOff>0</xdr:rowOff>
        </xdr:from>
        <xdr:to>
          <xdr:col>2</xdr:col>
          <xdr:colOff>466725</xdr:colOff>
          <xdr:row>2</xdr:row>
          <xdr:rowOff>38100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</xdr:row>
          <xdr:rowOff>0</xdr:rowOff>
        </xdr:from>
        <xdr:to>
          <xdr:col>4</xdr:col>
          <xdr:colOff>323850</xdr:colOff>
          <xdr:row>2</xdr:row>
          <xdr:rowOff>38100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0</xdr:rowOff>
        </xdr:from>
        <xdr:to>
          <xdr:col>21</xdr:col>
          <xdr:colOff>133350</xdr:colOff>
          <xdr:row>3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5</xdr:row>
          <xdr:rowOff>95250</xdr:rowOff>
        </xdr:from>
        <xdr:to>
          <xdr:col>19</xdr:col>
          <xdr:colOff>571501</xdr:colOff>
          <xdr:row>6</xdr:row>
          <xdr:rowOff>161925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7</xdr:row>
          <xdr:rowOff>152400</xdr:rowOff>
        </xdr:from>
        <xdr:to>
          <xdr:col>19</xdr:col>
          <xdr:colOff>571501</xdr:colOff>
          <xdr:row>8</xdr:row>
          <xdr:rowOff>219076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57150</xdr:rowOff>
        </xdr:from>
        <xdr:to>
          <xdr:col>19</xdr:col>
          <xdr:colOff>561976</xdr:colOff>
          <xdr:row>11</xdr:row>
          <xdr:rowOff>114300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68029</xdr:colOff>
          <xdr:row>0</xdr:row>
          <xdr:rowOff>168733</xdr:rowOff>
        </xdr:from>
        <xdr:to>
          <xdr:col>16</xdr:col>
          <xdr:colOff>1513108</xdr:colOff>
          <xdr:row>0</xdr:row>
          <xdr:rowOff>477615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J3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defaultColWidth="9.140625" defaultRowHeight="15" x14ac:dyDescent="0.25"/>
  <cols>
    <col min="1" max="1" width="13.140625" bestFit="1" customWidth="1"/>
    <col min="2" max="2" width="19.7109375" bestFit="1" customWidth="1"/>
    <col min="3" max="3" width="11.85546875" customWidth="1"/>
    <col min="4" max="4" width="6.7109375" customWidth="1"/>
    <col min="5" max="5" width="9.85546875" bestFit="1" customWidth="1"/>
    <col min="6" max="6" width="8" customWidth="1"/>
    <col min="7" max="7" width="5.7109375" bestFit="1" customWidth="1"/>
    <col min="8" max="8" width="7.42578125" customWidth="1"/>
    <col min="9" max="9" width="7.85546875" customWidth="1"/>
    <col min="10" max="10" width="9.5703125" customWidth="1"/>
    <col min="11" max="11" width="8" customWidth="1"/>
    <col min="12" max="12" width="6.42578125" customWidth="1"/>
    <col min="13" max="13" width="7" customWidth="1"/>
    <col min="14" max="14" width="8.140625" customWidth="1"/>
    <col min="15" max="15" width="7.85546875" customWidth="1"/>
    <col min="17" max="17" width="7.85546875" hidden="1" customWidth="1"/>
    <col min="18" max="18" width="7.140625" hidden="1" customWidth="1"/>
    <col min="19" max="19" width="7.140625" bestFit="1" customWidth="1"/>
    <col min="20" max="20" width="9.140625" hidden="1" customWidth="1"/>
    <col min="21" max="21" width="6.28515625" bestFit="1" customWidth="1"/>
    <col min="22" max="22" width="6.5703125" bestFit="1" customWidth="1"/>
    <col min="23" max="23" width="8.28515625" customWidth="1"/>
    <col min="24" max="24" width="11.85546875" customWidth="1"/>
    <col min="25" max="25" width="10" customWidth="1"/>
    <col min="29" max="29" width="9.7109375" bestFit="1" customWidth="1"/>
    <col min="30" max="30" width="7.140625" bestFit="1" customWidth="1"/>
    <col min="31" max="31" width="5.7109375" bestFit="1" customWidth="1"/>
    <col min="32" max="32" width="18.7109375" customWidth="1"/>
    <col min="33" max="33" width="9.5703125" bestFit="1" customWidth="1"/>
    <col min="34" max="34" width="10.28515625" customWidth="1"/>
    <col min="35" max="35" width="11.5703125" customWidth="1"/>
    <col min="36" max="36" width="31" customWidth="1"/>
  </cols>
  <sheetData>
    <row r="1" spans="1:36" ht="11.45" customHeight="1" x14ac:dyDescent="0.25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4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2"/>
      <c r="K2" s="10" t="s">
        <v>63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83</v>
      </c>
      <c r="Y2" s="10"/>
      <c r="Z2" s="10"/>
      <c r="AA2" s="10"/>
      <c r="AB2" s="10"/>
      <c r="AC2" s="4"/>
      <c r="AD2" s="2"/>
      <c r="AE2" s="2"/>
      <c r="AF2" s="2"/>
      <c r="AG2" s="2"/>
      <c r="AH2" s="2"/>
      <c r="AI2" s="2"/>
      <c r="AJ2" s="2"/>
    </row>
    <row r="3" spans="1:36" ht="60" x14ac:dyDescent="0.25">
      <c r="A3" s="5" t="s">
        <v>56</v>
      </c>
      <c r="B3" s="5" t="s">
        <v>57</v>
      </c>
      <c r="C3" s="5" t="s">
        <v>81</v>
      </c>
      <c r="D3" s="5" t="s">
        <v>82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 xml:space="preserve">CTC for December 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77</v>
      </c>
      <c r="P3" s="6" t="s">
        <v>33</v>
      </c>
      <c r="Q3" s="5" t="s">
        <v>78</v>
      </c>
      <c r="R3" s="5" t="s">
        <v>79</v>
      </c>
      <c r="S3" s="6" t="s">
        <v>62</v>
      </c>
      <c r="T3" s="5" t="s">
        <v>80</v>
      </c>
      <c r="U3" s="6" t="s">
        <v>38</v>
      </c>
      <c r="V3" s="6" t="s">
        <v>96</v>
      </c>
      <c r="W3" s="6" t="s">
        <v>51</v>
      </c>
      <c r="X3" s="6" t="s">
        <v>64</v>
      </c>
      <c r="Y3" s="6" t="s">
        <v>92</v>
      </c>
      <c r="Z3" s="6" t="s">
        <v>46</v>
      </c>
      <c r="AA3" s="6" t="s">
        <v>65</v>
      </c>
      <c r="AB3" s="6" t="s">
        <v>51</v>
      </c>
      <c r="AC3" s="6" t="s">
        <v>84</v>
      </c>
      <c r="AD3" s="6" t="s">
        <v>100</v>
      </c>
      <c r="AE3" s="6" t="s">
        <v>87</v>
      </c>
      <c r="AF3" s="6" t="s">
        <v>102</v>
      </c>
      <c r="AG3" s="6" t="s">
        <v>91</v>
      </c>
      <c r="AH3" s="6" t="s">
        <v>98</v>
      </c>
      <c r="AI3" s="6" t="s">
        <v>99</v>
      </c>
      <c r="AJ3" s="5" t="s">
        <v>101</v>
      </c>
    </row>
    <row r="4" spans="1:36" x14ac:dyDescent="0.25">
      <c r="A4" s="3" t="s">
        <v>103</v>
      </c>
      <c r="B4" s="3" t="s">
        <v>69</v>
      </c>
      <c r="C4" s="3" t="s">
        <v>110</v>
      </c>
      <c r="D4" s="3"/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3">
        <f>IF(H4=0,"",ROUND($J4/E4*H4*50%,-1))</f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13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13" si="3">SUM(X4:AA4)</f>
        <v>8800</v>
      </c>
      <c r="AC4" s="4">
        <f t="shared" ref="AC4:AC13" si="4">IFERROR(W4-AB4,"")</f>
        <v>63050</v>
      </c>
      <c r="AD4" s="3" t="s">
        <v>85</v>
      </c>
      <c r="AE4" s="3" t="str">
        <f t="shared" ref="AE4:AE13" si="5">IF(AD4=0,"",IF(AD4="Male","Mr",IF(AD4="Female","Mrs")))</f>
        <v>Mr</v>
      </c>
      <c r="AF4" s="3" t="s">
        <v>68</v>
      </c>
      <c r="AG4" s="3" t="s">
        <v>97</v>
      </c>
      <c r="AH4" s="3" t="s">
        <v>97</v>
      </c>
      <c r="AI4" s="3">
        <v>1250</v>
      </c>
      <c r="AJ4" s="3" t="s">
        <v>112</v>
      </c>
    </row>
    <row r="5" spans="1:36" ht="15.95" customHeight="1" x14ac:dyDescent="0.25">
      <c r="A5" s="3" t="s">
        <v>104</v>
      </c>
      <c r="B5" s="3" t="s">
        <v>55</v>
      </c>
      <c r="C5" s="3" t="str">
        <f t="shared" ref="C5:C13" si="6">IF(A5=0,"",C$4)</f>
        <v>December</v>
      </c>
      <c r="D5" s="3">
        <f t="shared" ref="D5:D13" si="7">IF(A5=0,"",D$4)</f>
        <v>0</v>
      </c>
      <c r="E5" s="3">
        <v>30</v>
      </c>
      <c r="F5" s="3">
        <v>0</v>
      </c>
      <c r="G5" s="3">
        <v>0</v>
      </c>
      <c r="H5" s="4">
        <f t="shared" ref="H5:H13" si="8">IF(G5&gt;=F5,E5-G5+F5,E5)</f>
        <v>30</v>
      </c>
      <c r="I5" s="3">
        <v>30000</v>
      </c>
      <c r="J5" s="4">
        <f t="shared" ref="J5:J13" si="9">IF(H5=0,"",ROUND(I5/E5*H5,-1))</f>
        <v>30000</v>
      </c>
      <c r="K5" s="3">
        <f t="shared" ref="K5:K13" si="10">IF(H5=0,"",ROUND($J5/E5*H5*50%,-1))</f>
        <v>15000</v>
      </c>
      <c r="L5" s="3">
        <f t="shared" ref="L5:L13" si="11">IF(H5=0,"",ROUND(J5/E5*H5*10%,-1))</f>
        <v>3000</v>
      </c>
      <c r="M5" s="3">
        <f t="shared" ref="M5:M13" si="12">IF(H5=0,"",ROUND(J5/E5*H5*25%,-1))</f>
        <v>7500</v>
      </c>
      <c r="N5" s="3">
        <f>IF(H5=0,"",1600)</f>
        <v>1600</v>
      </c>
      <c r="O5" s="3">
        <f t="shared" ref="O5:O13" si="13">IF(H5=0,"",ROUND(N5/E5*H5,-1))</f>
        <v>1600</v>
      </c>
      <c r="P5" s="3">
        <f t="shared" ref="P5:P13" si="14">MIN(1250,IF(AH5="Yes",IF(H5=0,"",AI5),0))</f>
        <v>1250</v>
      </c>
      <c r="Q5" s="3"/>
      <c r="R5" s="3">
        <f t="shared" ref="R5:R13" si="15">IF(H5=0,"",ROUND(J5-T5,-1))</f>
        <v>1650</v>
      </c>
      <c r="S5" s="3">
        <f t="shared" si="1"/>
        <v>1650</v>
      </c>
      <c r="T5" s="3">
        <f t="shared" ref="T5:T13" si="16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13" si="17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85</v>
      </c>
      <c r="AE5" s="3" t="str">
        <f t="shared" si="5"/>
        <v>Mr</v>
      </c>
      <c r="AF5" s="3" t="str">
        <f>IF(A5=0,"",AF$4)</f>
        <v>Managing Director</v>
      </c>
      <c r="AG5" s="3" t="s">
        <v>97</v>
      </c>
      <c r="AH5" s="3" t="s">
        <v>97</v>
      </c>
      <c r="AI5" s="3">
        <v>1250</v>
      </c>
      <c r="AJ5" s="3" t="s">
        <v>112</v>
      </c>
    </row>
    <row r="6" spans="1:36" ht="15.95" customHeight="1" x14ac:dyDescent="0.25">
      <c r="A6" s="3" t="s">
        <v>105</v>
      </c>
      <c r="B6" s="3" t="s">
        <v>70</v>
      </c>
      <c r="C6" s="3" t="str">
        <f t="shared" si="6"/>
        <v>December</v>
      </c>
      <c r="D6" s="3">
        <f t="shared" si="7"/>
        <v>0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3">
        <f t="shared" si="10"/>
        <v>10000</v>
      </c>
      <c r="L6" s="3">
        <f t="shared" si="11"/>
        <v>2000</v>
      </c>
      <c r="M6" s="3">
        <f t="shared" si="12"/>
        <v>5000</v>
      </c>
      <c r="N6" s="3">
        <v>1000</v>
      </c>
      <c r="O6" s="3">
        <f t="shared" si="13"/>
        <v>1000</v>
      </c>
      <c r="P6" s="3">
        <f t="shared" si="14"/>
        <v>1250</v>
      </c>
      <c r="Q6" s="3"/>
      <c r="R6" s="3">
        <f t="shared" si="15"/>
        <v>750</v>
      </c>
      <c r="S6" s="3">
        <f t="shared" si="1"/>
        <v>750</v>
      </c>
      <c r="T6" s="3">
        <f t="shared" si="16"/>
        <v>19250</v>
      </c>
      <c r="U6" s="3">
        <v>0</v>
      </c>
      <c r="V6" s="3">
        <v>0</v>
      </c>
      <c r="W6" s="4">
        <f t="shared" si="2"/>
        <v>18750</v>
      </c>
      <c r="X6" s="3">
        <f t="shared" si="17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85</v>
      </c>
      <c r="AE6" s="3" t="str">
        <f t="shared" si="5"/>
        <v>Mr</v>
      </c>
      <c r="AF6" s="3" t="str">
        <f>IF(A6=0,"",AF$4)</f>
        <v>Managing Director</v>
      </c>
      <c r="AG6" s="3" t="s">
        <v>97</v>
      </c>
      <c r="AH6" s="3" t="s">
        <v>97</v>
      </c>
      <c r="AI6" s="3">
        <v>2000</v>
      </c>
      <c r="AJ6" s="3" t="s">
        <v>112</v>
      </c>
    </row>
    <row r="7" spans="1:36" ht="15.95" customHeight="1" x14ac:dyDescent="0.25">
      <c r="A7" s="3" t="s">
        <v>106</v>
      </c>
      <c r="B7" s="3" t="s">
        <v>73</v>
      </c>
      <c r="C7" s="3" t="str">
        <f t="shared" si="6"/>
        <v>December</v>
      </c>
      <c r="D7" s="3">
        <f t="shared" si="7"/>
        <v>0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3">
        <f t="shared" si="10"/>
        <v>12500</v>
      </c>
      <c r="L7" s="3">
        <f t="shared" si="11"/>
        <v>2500</v>
      </c>
      <c r="M7" s="3">
        <f t="shared" si="12"/>
        <v>6250</v>
      </c>
      <c r="N7" s="3">
        <f>IF(H7=0,"",1600)</f>
        <v>1600</v>
      </c>
      <c r="O7" s="3">
        <f t="shared" si="13"/>
        <v>1600</v>
      </c>
      <c r="P7" s="3">
        <f t="shared" si="14"/>
        <v>1250</v>
      </c>
      <c r="Q7" s="3"/>
      <c r="R7" s="3">
        <f t="shared" si="15"/>
        <v>900</v>
      </c>
      <c r="S7" s="3">
        <f t="shared" si="1"/>
        <v>900</v>
      </c>
      <c r="T7" s="3">
        <f t="shared" si="16"/>
        <v>24100</v>
      </c>
      <c r="U7" s="3">
        <v>0</v>
      </c>
      <c r="V7" s="3">
        <v>0</v>
      </c>
      <c r="W7" s="4">
        <f t="shared" si="2"/>
        <v>23750</v>
      </c>
      <c r="X7" s="3">
        <f t="shared" si="17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85</v>
      </c>
      <c r="AE7" s="3" t="str">
        <f t="shared" si="5"/>
        <v>Mr</v>
      </c>
      <c r="AF7" s="3" t="str">
        <f>IF(A7=0,"",AF$4)</f>
        <v>Managing Director</v>
      </c>
      <c r="AG7" s="3" t="s">
        <v>97</v>
      </c>
      <c r="AH7" s="3" t="s">
        <v>97</v>
      </c>
      <c r="AI7" s="3">
        <v>1250</v>
      </c>
      <c r="AJ7" s="3" t="s">
        <v>112</v>
      </c>
    </row>
    <row r="8" spans="1:36" ht="15.95" customHeight="1" x14ac:dyDescent="0.25">
      <c r="A8" s="3" t="s">
        <v>71</v>
      </c>
      <c r="B8" s="3" t="s">
        <v>70</v>
      </c>
      <c r="C8" s="3" t="str">
        <f t="shared" si="6"/>
        <v>December</v>
      </c>
      <c r="D8" s="3">
        <f t="shared" si="7"/>
        <v>0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3">
        <f t="shared" si="10"/>
        <v>11000</v>
      </c>
      <c r="L8" s="3">
        <f t="shared" si="11"/>
        <v>2200</v>
      </c>
      <c r="M8" s="3">
        <f t="shared" si="12"/>
        <v>5500</v>
      </c>
      <c r="N8" s="3">
        <v>1100</v>
      </c>
      <c r="O8" s="3">
        <f t="shared" si="13"/>
        <v>1100</v>
      </c>
      <c r="P8" s="3">
        <f t="shared" si="14"/>
        <v>1250</v>
      </c>
      <c r="Q8" s="3"/>
      <c r="R8" s="3">
        <f t="shared" si="15"/>
        <v>950</v>
      </c>
      <c r="S8" s="3">
        <f t="shared" si="1"/>
        <v>950</v>
      </c>
      <c r="T8" s="3">
        <f t="shared" si="16"/>
        <v>21050</v>
      </c>
      <c r="U8" s="3">
        <v>2300</v>
      </c>
      <c r="V8" s="3">
        <v>0</v>
      </c>
      <c r="W8" s="4">
        <f t="shared" si="2"/>
        <v>23050</v>
      </c>
      <c r="X8" s="3">
        <f t="shared" si="17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85</v>
      </c>
      <c r="AE8" s="3" t="str">
        <f t="shared" si="5"/>
        <v>Mr</v>
      </c>
      <c r="AF8" s="3" t="str">
        <f t="shared" ref="AF8:AF13" si="18">IF(A8=0,"",AF$4)</f>
        <v>Managing Director</v>
      </c>
      <c r="AG8" s="3" t="s">
        <v>97</v>
      </c>
      <c r="AH8" s="3" t="s">
        <v>97</v>
      </c>
      <c r="AI8" s="3">
        <v>2200</v>
      </c>
      <c r="AJ8" s="3" t="s">
        <v>112</v>
      </c>
    </row>
    <row r="9" spans="1:36" ht="15.95" customHeight="1" x14ac:dyDescent="0.25">
      <c r="A9" s="3" t="s">
        <v>107</v>
      </c>
      <c r="B9" s="3" t="s">
        <v>70</v>
      </c>
      <c r="C9" s="3" t="str">
        <f t="shared" si="6"/>
        <v>December</v>
      </c>
      <c r="D9" s="3">
        <f t="shared" si="7"/>
        <v>0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3">
        <f t="shared" si="10"/>
        <v>7000</v>
      </c>
      <c r="L9" s="3">
        <f t="shared" si="11"/>
        <v>1400</v>
      </c>
      <c r="M9" s="3">
        <f t="shared" si="12"/>
        <v>3500</v>
      </c>
      <c r="N9" s="3">
        <v>700</v>
      </c>
      <c r="O9" s="3">
        <f t="shared" si="13"/>
        <v>700</v>
      </c>
      <c r="P9" s="3">
        <f t="shared" si="14"/>
        <v>1250</v>
      </c>
      <c r="Q9" s="3"/>
      <c r="R9" s="3">
        <f t="shared" si="15"/>
        <v>150</v>
      </c>
      <c r="S9" s="3">
        <f t="shared" si="1"/>
        <v>150</v>
      </c>
      <c r="T9" s="3">
        <f t="shared" si="16"/>
        <v>13850</v>
      </c>
      <c r="U9" s="3">
        <v>2300</v>
      </c>
      <c r="V9" s="3">
        <v>0</v>
      </c>
      <c r="W9" s="4">
        <f t="shared" si="2"/>
        <v>15050</v>
      </c>
      <c r="X9" s="3">
        <f t="shared" si="17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85</v>
      </c>
      <c r="AE9" s="3" t="str">
        <f t="shared" si="5"/>
        <v>Mr</v>
      </c>
      <c r="AF9" s="3" t="str">
        <f t="shared" si="18"/>
        <v>Managing Director</v>
      </c>
      <c r="AG9" s="3" t="s">
        <v>97</v>
      </c>
      <c r="AH9" s="3" t="s">
        <v>97</v>
      </c>
      <c r="AI9" s="3">
        <v>1400</v>
      </c>
      <c r="AJ9" s="3" t="s">
        <v>112</v>
      </c>
    </row>
    <row r="10" spans="1:36" ht="15.95" customHeight="1" x14ac:dyDescent="0.25">
      <c r="A10" s="3" t="s">
        <v>108</v>
      </c>
      <c r="B10" s="3" t="s">
        <v>72</v>
      </c>
      <c r="C10" s="3" t="str">
        <f t="shared" si="6"/>
        <v>December</v>
      </c>
      <c r="D10" s="3">
        <f t="shared" si="7"/>
        <v>0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3">
        <f t="shared" si="10"/>
        <v>7500</v>
      </c>
      <c r="L10" s="3">
        <f t="shared" si="11"/>
        <v>1500</v>
      </c>
      <c r="M10" s="3">
        <f t="shared" si="12"/>
        <v>3750</v>
      </c>
      <c r="N10" s="3">
        <v>600</v>
      </c>
      <c r="O10" s="3">
        <f t="shared" si="13"/>
        <v>600</v>
      </c>
      <c r="P10" s="3">
        <f t="shared" si="14"/>
        <v>1200</v>
      </c>
      <c r="Q10" s="3"/>
      <c r="R10" s="3">
        <f t="shared" si="15"/>
        <v>450</v>
      </c>
      <c r="S10" s="3">
        <f t="shared" si="1"/>
        <v>450</v>
      </c>
      <c r="T10" s="3">
        <f t="shared" si="16"/>
        <v>14550</v>
      </c>
      <c r="U10" s="3">
        <v>0</v>
      </c>
      <c r="V10" s="3">
        <v>0</v>
      </c>
      <c r="W10" s="4">
        <f t="shared" si="2"/>
        <v>13800</v>
      </c>
      <c r="X10" s="3">
        <f t="shared" si="17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85</v>
      </c>
      <c r="AE10" s="3" t="str">
        <f t="shared" si="5"/>
        <v>Mr</v>
      </c>
      <c r="AF10" s="3" t="str">
        <f t="shared" si="18"/>
        <v>Managing Director</v>
      </c>
      <c r="AG10" s="3" t="s">
        <v>97</v>
      </c>
      <c r="AH10" s="3" t="s">
        <v>97</v>
      </c>
      <c r="AI10" s="3">
        <v>1200</v>
      </c>
      <c r="AJ10" s="3" t="s">
        <v>112</v>
      </c>
    </row>
    <row r="11" spans="1:36" ht="15.95" customHeight="1" x14ac:dyDescent="0.25">
      <c r="A11" s="3" t="s">
        <v>109</v>
      </c>
      <c r="B11" s="3" t="s">
        <v>74</v>
      </c>
      <c r="C11" s="3" t="str">
        <f t="shared" si="6"/>
        <v>December</v>
      </c>
      <c r="D11" s="3">
        <f t="shared" si="7"/>
        <v>0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3">
        <f t="shared" si="10"/>
        <v>7000</v>
      </c>
      <c r="L11" s="3">
        <f t="shared" si="11"/>
        <v>1400</v>
      </c>
      <c r="M11" s="3">
        <f t="shared" si="12"/>
        <v>3500</v>
      </c>
      <c r="N11" s="3">
        <v>600</v>
      </c>
      <c r="O11" s="3">
        <f t="shared" si="13"/>
        <v>600</v>
      </c>
      <c r="P11" s="3">
        <f t="shared" si="14"/>
        <v>1200</v>
      </c>
      <c r="Q11" s="3"/>
      <c r="R11" s="3">
        <f t="shared" si="15"/>
        <v>300</v>
      </c>
      <c r="S11" s="3">
        <f t="shared" ref="S11:S13" si="19">IF(R11&lt;=0,0,R11)</f>
        <v>300</v>
      </c>
      <c r="T11" s="3">
        <f t="shared" si="16"/>
        <v>13700</v>
      </c>
      <c r="U11" s="3">
        <v>0</v>
      </c>
      <c r="V11" s="3">
        <v>0</v>
      </c>
      <c r="W11" s="4">
        <f t="shared" si="2"/>
        <v>12800</v>
      </c>
      <c r="X11" s="3">
        <f t="shared" si="17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85</v>
      </c>
      <c r="AE11" s="3" t="str">
        <f t="shared" si="5"/>
        <v>Mr</v>
      </c>
      <c r="AF11" s="3" t="str">
        <f t="shared" si="18"/>
        <v>Managing Director</v>
      </c>
      <c r="AG11" s="3" t="s">
        <v>97</v>
      </c>
      <c r="AH11" s="3" t="s">
        <v>97</v>
      </c>
      <c r="AI11" s="3">
        <v>1200</v>
      </c>
      <c r="AJ11" s="3" t="s">
        <v>112</v>
      </c>
    </row>
    <row r="12" spans="1:36" ht="15.95" customHeight="1" x14ac:dyDescent="0.25">
      <c r="A12" s="3" t="s">
        <v>75</v>
      </c>
      <c r="B12" s="3" t="s">
        <v>72</v>
      </c>
      <c r="C12" s="3" t="str">
        <f t="shared" si="6"/>
        <v>December</v>
      </c>
      <c r="D12" s="3">
        <f t="shared" si="7"/>
        <v>0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3">
        <f t="shared" si="10"/>
        <v>7000</v>
      </c>
      <c r="L12" s="3">
        <f t="shared" si="11"/>
        <v>1400</v>
      </c>
      <c r="M12" s="3">
        <f t="shared" si="12"/>
        <v>3500</v>
      </c>
      <c r="N12" s="3">
        <v>700</v>
      </c>
      <c r="O12" s="3">
        <f t="shared" si="13"/>
        <v>700</v>
      </c>
      <c r="P12" s="3">
        <f t="shared" si="14"/>
        <v>1250</v>
      </c>
      <c r="Q12" s="3"/>
      <c r="R12" s="3">
        <f t="shared" si="15"/>
        <v>150</v>
      </c>
      <c r="S12" s="3">
        <f t="shared" si="19"/>
        <v>150</v>
      </c>
      <c r="T12" s="3">
        <f t="shared" si="16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7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85</v>
      </c>
      <c r="AE12" s="3" t="str">
        <f t="shared" si="5"/>
        <v>Mr</v>
      </c>
      <c r="AF12" s="3" t="str">
        <f t="shared" si="18"/>
        <v>Managing Director</v>
      </c>
      <c r="AG12" s="3" t="s">
        <v>97</v>
      </c>
      <c r="AH12" s="3" t="s">
        <v>97</v>
      </c>
      <c r="AI12" s="3">
        <v>1400</v>
      </c>
      <c r="AJ12" s="3" t="s">
        <v>112</v>
      </c>
    </row>
    <row r="13" spans="1:36" ht="15.95" customHeight="1" x14ac:dyDescent="0.25">
      <c r="A13" s="3" t="s">
        <v>76</v>
      </c>
      <c r="B13" s="3" t="s">
        <v>72</v>
      </c>
      <c r="C13" s="3" t="str">
        <f t="shared" si="6"/>
        <v>December</v>
      </c>
      <c r="D13" s="3">
        <f t="shared" si="7"/>
        <v>0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3">
        <f t="shared" si="10"/>
        <v>4000</v>
      </c>
      <c r="L13" s="3">
        <f t="shared" si="11"/>
        <v>800</v>
      </c>
      <c r="M13" s="3">
        <f t="shared" si="12"/>
        <v>2000</v>
      </c>
      <c r="N13" s="3">
        <v>400</v>
      </c>
      <c r="O13" s="3">
        <f t="shared" si="13"/>
        <v>400</v>
      </c>
      <c r="P13" s="3">
        <f t="shared" si="14"/>
        <v>800</v>
      </c>
      <c r="Q13" s="3"/>
      <c r="R13" s="3">
        <f t="shared" si="15"/>
        <v>0</v>
      </c>
      <c r="S13" s="3">
        <f t="shared" si="19"/>
        <v>0</v>
      </c>
      <c r="T13" s="3">
        <f t="shared" si="16"/>
        <v>8000</v>
      </c>
      <c r="U13" s="3">
        <v>0</v>
      </c>
      <c r="V13" s="3">
        <v>0</v>
      </c>
      <c r="W13" s="4">
        <f t="shared" si="2"/>
        <v>7200</v>
      </c>
      <c r="X13" s="3">
        <f t="shared" si="17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86</v>
      </c>
      <c r="AE13" s="3" t="str">
        <f t="shared" si="5"/>
        <v>Mrs</v>
      </c>
      <c r="AF13" s="3" t="str">
        <f t="shared" si="18"/>
        <v>Managing Director</v>
      </c>
      <c r="AG13" s="3" t="s">
        <v>97</v>
      </c>
      <c r="AH13" s="3" t="s">
        <v>97</v>
      </c>
      <c r="AI13" s="3">
        <v>800</v>
      </c>
      <c r="AJ13" s="3" t="s">
        <v>112</v>
      </c>
    </row>
    <row r="14" spans="1:36" ht="15.95" customHeight="1" x14ac:dyDescent="0.25"/>
    <row r="15" spans="1:36" ht="15.95" customHeight="1" x14ac:dyDescent="0.25"/>
    <row r="16" spans="1:36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</sheetData>
  <mergeCells count="3">
    <mergeCell ref="K2:W2"/>
    <mergeCell ref="X2:AB2"/>
    <mergeCell ref="A2:I2"/>
  </mergeCells>
  <conditionalFormatting sqref="H17:H1048576 H3:H15 X1:AA1048576">
    <cfRule type="cellIs" priority="5" operator="equal">
      <formula>0</formula>
    </cfRule>
  </conditionalFormatting>
  <conditionalFormatting sqref="H16">
    <cfRule type="cellIs" priority="4" operator="equal">
      <formula>0</formula>
    </cfRule>
  </conditionalFormatting>
  <conditionalFormatting sqref="AB4:AB38 P4:P38">
    <cfRule type="beginsWith" priority="2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38">
      <formula1>"Yes,No"</formula1>
    </dataValidation>
    <dataValidation allowBlank="1" showInputMessage="1" showErrorMessage="1" prompt="Give PF &quot;Yes' or &quot;No&quot; in column AG33" sqref="X4:X38"/>
    <dataValidation allowBlank="1" showInputMessage="1" showErrorMessage="1" prompt="You can change the title to any head" sqref="V4:V38"/>
    <dataValidation type="list" allowBlank="1" showInputMessage="1" showErrorMessage="1" sqref="AD4:AD38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Fill="0" autoLine="0" r:id="rId5">
            <anchor moveWithCells="1">
              <from>
                <xdr:col>0</xdr:col>
                <xdr:colOff>47625</xdr:colOff>
                <xdr:row>1</xdr:row>
                <xdr:rowOff>0</xdr:rowOff>
              </from>
              <to>
                <xdr:col>1</xdr:col>
                <xdr:colOff>447675</xdr:colOff>
                <xdr:row>2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504825</xdr:colOff>
                <xdr:row>1</xdr:row>
                <xdr:rowOff>0</xdr:rowOff>
              </from>
              <to>
                <xdr:col>2</xdr:col>
                <xdr:colOff>466725</xdr:colOff>
                <xdr:row>2</xdr:row>
                <xdr:rowOff>38100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91" r:id="rId8" name="CommandButton3">
          <controlPr autoFill="0" autoLine="0" r:id="rId9">
            <anchor moveWithCells="1">
              <from>
                <xdr:col>2</xdr:col>
                <xdr:colOff>542925</xdr:colOff>
                <xdr:row>1</xdr:row>
                <xdr:rowOff>0</xdr:rowOff>
              </from>
              <to>
                <xdr:col>4</xdr:col>
                <xdr:colOff>323850</xdr:colOff>
                <xdr:row>2</xdr:row>
                <xdr:rowOff>38100</xdr:rowOff>
              </to>
            </anchor>
          </controlPr>
        </control>
      </mc:Choice>
      <mc:Fallback>
        <control shapeId="309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V21"/>
  <sheetViews>
    <sheetView showGridLines="0" topLeftCell="B12" workbookViewId="0">
      <selection activeCell="B13" sqref="B13"/>
    </sheetView>
  </sheetViews>
  <sheetFormatPr defaultRowHeight="15" x14ac:dyDescent="0.25"/>
  <cols>
    <col min="1" max="1" width="5" customWidth="1"/>
    <col min="2" max="2" width="19.7109375" customWidth="1"/>
    <col min="3" max="3" width="14.140625" customWidth="1"/>
    <col min="4" max="4" width="13.140625" bestFit="1" customWidth="1"/>
    <col min="5" max="5" width="7.42578125" customWidth="1"/>
    <col min="6" max="6" width="6.7109375" bestFit="1" customWidth="1"/>
    <col min="7" max="7" width="12.7109375" bestFit="1" customWidth="1"/>
    <col min="8" max="8" width="18.85546875" bestFit="1" customWidth="1"/>
    <col min="9" max="9" width="7.85546875" bestFit="1" customWidth="1"/>
    <col min="10" max="10" width="8" customWidth="1"/>
    <col min="11" max="11" width="4" bestFit="1" customWidth="1"/>
    <col min="12" max="12" width="8.5703125" bestFit="1" customWidth="1"/>
    <col min="13" max="13" width="18.7109375" bestFit="1" customWidth="1"/>
    <col min="14" max="14" width="15.42578125" bestFit="1" customWidth="1"/>
    <col min="18" max="18" width="16.5703125" bestFit="1" customWidth="1"/>
  </cols>
  <sheetData>
    <row r="1" spans="1:22" ht="48.75" customHeight="1" x14ac:dyDescent="0.4">
      <c r="A1" s="33" t="str">
        <f>'Salary Slip'!B1</f>
        <v>Udaipur Hotelier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9"/>
      <c r="T1" s="9"/>
      <c r="U1" s="9"/>
      <c r="V1" s="9"/>
    </row>
    <row r="2" spans="1:22" ht="15.75" x14ac:dyDescent="0.25">
      <c r="A2" s="34" t="str">
        <f>CONCATENATE("Consolidated Salary Sheet for the month of "&amp;" "&amp;Database!C4&amp;" ", Database!D4)</f>
        <v xml:space="preserve">Consolidated Salary Sheet for the month of  December 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9"/>
      <c r="T2" s="9"/>
      <c r="U2" s="9"/>
      <c r="V2" s="9"/>
    </row>
    <row r="3" spans="1:22" ht="15.75" x14ac:dyDescent="0.25">
      <c r="A3" s="34" t="s">
        <v>88</v>
      </c>
      <c r="B3" s="34" t="s">
        <v>25</v>
      </c>
      <c r="C3" s="34" t="s">
        <v>50</v>
      </c>
      <c r="D3" s="34" t="str">
        <f>Database!K2</f>
        <v>TOTAL GROSS SALARY</v>
      </c>
      <c r="E3" s="34"/>
      <c r="F3" s="34"/>
      <c r="G3" s="34"/>
      <c r="H3" s="34"/>
      <c r="I3" s="34"/>
      <c r="J3" s="34"/>
      <c r="K3" s="34"/>
      <c r="L3" s="34" t="str">
        <f>Database!W3</f>
        <v>TOTAL</v>
      </c>
      <c r="M3" s="34" t="str">
        <f>Database!X2</f>
        <v>TOTAL DEDUCTIONS</v>
      </c>
      <c r="N3" s="34"/>
      <c r="O3" s="34"/>
      <c r="P3" s="34"/>
      <c r="Q3" s="34"/>
      <c r="R3" s="34" t="str">
        <f>Database!AC3</f>
        <v>NET PAYABLE</v>
      </c>
      <c r="S3" s="9"/>
      <c r="T3" s="9"/>
      <c r="U3" s="9"/>
      <c r="V3" s="9"/>
    </row>
    <row r="4" spans="1:22" ht="27.75" customHeight="1" x14ac:dyDescent="0.25">
      <c r="A4" s="34"/>
      <c r="B4" s="34"/>
      <c r="C4" s="34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34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34"/>
      <c r="S4" s="9"/>
      <c r="T4" s="9"/>
      <c r="U4" s="9"/>
      <c r="V4" s="9"/>
    </row>
    <row r="5" spans="1:22" ht="15.75" x14ac:dyDescent="0.25">
      <c r="A5" s="8">
        <v>1</v>
      </c>
      <c r="B5" s="8" t="str">
        <f>Database!A4</f>
        <v>Raj Sharma</v>
      </c>
      <c r="C5" s="8">
        <f>Database!I4</f>
        <v>60000</v>
      </c>
      <c r="D5" s="8">
        <f>Database!K4</f>
        <v>30000</v>
      </c>
      <c r="E5" s="8">
        <f>Database!L4</f>
        <v>6000</v>
      </c>
      <c r="F5" s="8">
        <f>Database!M4</f>
        <v>15000</v>
      </c>
      <c r="G5" s="8">
        <f>Database!O4</f>
        <v>1600</v>
      </c>
      <c r="H5" s="8">
        <f>Database!P4</f>
        <v>1250</v>
      </c>
      <c r="I5" s="8">
        <f>Database!S4</f>
        <v>6150</v>
      </c>
      <c r="J5" s="8">
        <f>Database!U4</f>
        <v>13100</v>
      </c>
      <c r="K5" s="8">
        <f>Database!V4</f>
        <v>0</v>
      </c>
      <c r="L5" s="8">
        <f t="shared" ref="L5:L14" si="0">SUM(D5:K5)</f>
        <v>73100</v>
      </c>
      <c r="M5" s="8">
        <f>Database!X4</f>
        <v>1800</v>
      </c>
      <c r="N5" s="8">
        <f>Database!Y4</f>
        <v>0</v>
      </c>
      <c r="O5" s="8">
        <f>Database!Z4</f>
        <v>7000</v>
      </c>
      <c r="P5" s="8">
        <f>Database!AA4</f>
        <v>0</v>
      </c>
      <c r="Q5" s="8">
        <f t="shared" ref="Q5:Q14" si="1">SUM(M5:P5)</f>
        <v>8800</v>
      </c>
      <c r="R5" s="8">
        <f t="shared" ref="R5:R14" si="2">L5-Q5</f>
        <v>64300</v>
      </c>
      <c r="S5" s="9"/>
      <c r="T5" s="9"/>
      <c r="U5" s="9"/>
      <c r="V5" s="9"/>
    </row>
    <row r="6" spans="1:22" ht="15.75" x14ac:dyDescent="0.25">
      <c r="A6" s="8">
        <f t="shared" ref="A6:A14" si="3">IF(C6&gt;0,A5+1,"")</f>
        <v>2</v>
      </c>
      <c r="B6" s="8" t="str">
        <f>Database!A5</f>
        <v>Sharad Gandhi</v>
      </c>
      <c r="C6" s="8">
        <f>Database!I5</f>
        <v>30000</v>
      </c>
      <c r="D6" s="8">
        <f>Database!K5</f>
        <v>15000</v>
      </c>
      <c r="E6" s="8">
        <f>Database!L5</f>
        <v>3000</v>
      </c>
      <c r="F6" s="8">
        <f>Database!M5</f>
        <v>7500</v>
      </c>
      <c r="G6" s="8">
        <f>Database!O5</f>
        <v>1600</v>
      </c>
      <c r="H6" s="8">
        <f>Database!P5</f>
        <v>1250</v>
      </c>
      <c r="I6" s="8">
        <f>Database!S5</f>
        <v>1650</v>
      </c>
      <c r="J6" s="8">
        <f>Database!U5</f>
        <v>2300</v>
      </c>
      <c r="K6" s="8">
        <f>Database!V5</f>
        <v>0</v>
      </c>
      <c r="L6" s="8">
        <f t="shared" si="0"/>
        <v>32300</v>
      </c>
      <c r="M6" s="8">
        <f>Database!X5</f>
        <v>1800</v>
      </c>
      <c r="N6" s="8">
        <f>Database!Y5</f>
        <v>0</v>
      </c>
      <c r="O6" s="8">
        <f>Database!Z5</f>
        <v>500</v>
      </c>
      <c r="P6" s="8">
        <f>Database!AA5</f>
        <v>0</v>
      </c>
      <c r="Q6" s="8">
        <f t="shared" si="1"/>
        <v>2300</v>
      </c>
      <c r="R6" s="8">
        <f t="shared" si="2"/>
        <v>30000</v>
      </c>
      <c r="S6" s="9"/>
      <c r="T6" s="9"/>
      <c r="U6" s="9"/>
      <c r="V6" s="9"/>
    </row>
    <row r="7" spans="1:22" ht="15.75" x14ac:dyDescent="0.25">
      <c r="A7" s="8">
        <f t="shared" si="3"/>
        <v>3</v>
      </c>
      <c r="B7" s="8" t="str">
        <f>Database!A6</f>
        <v>Danish D'Souza</v>
      </c>
      <c r="C7" s="8">
        <f>Database!I6</f>
        <v>20000</v>
      </c>
      <c r="D7" s="8">
        <f>Database!K6</f>
        <v>10000</v>
      </c>
      <c r="E7" s="8">
        <f>Database!L6</f>
        <v>2000</v>
      </c>
      <c r="F7" s="8">
        <f>Database!M6</f>
        <v>5000</v>
      </c>
      <c r="G7" s="8">
        <f>Database!O6</f>
        <v>1000</v>
      </c>
      <c r="H7" s="8">
        <f>Database!P6</f>
        <v>1250</v>
      </c>
      <c r="I7" s="8">
        <f>Database!S6</f>
        <v>750</v>
      </c>
      <c r="J7" s="8">
        <f>Database!U6</f>
        <v>0</v>
      </c>
      <c r="K7" s="8">
        <f>Database!V6</f>
        <v>0</v>
      </c>
      <c r="L7" s="8">
        <f t="shared" si="0"/>
        <v>20000</v>
      </c>
      <c r="M7" s="8">
        <f>Database!X6</f>
        <v>1440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1440</v>
      </c>
      <c r="R7" s="8">
        <f t="shared" si="2"/>
        <v>18560</v>
      </c>
      <c r="S7" s="9"/>
      <c r="T7" s="9"/>
      <c r="U7" s="9"/>
      <c r="V7" s="9"/>
    </row>
    <row r="8" spans="1:22" ht="15.75" x14ac:dyDescent="0.25">
      <c r="A8" s="8">
        <f t="shared" si="3"/>
        <v>4</v>
      </c>
      <c r="B8" s="8" t="str">
        <f>Database!A7</f>
        <v>Pawan Patil</v>
      </c>
      <c r="C8" s="8">
        <f>Database!I7</f>
        <v>25000</v>
      </c>
      <c r="D8" s="8">
        <f>Database!K7</f>
        <v>12500</v>
      </c>
      <c r="E8" s="8">
        <f>Database!L7</f>
        <v>2500</v>
      </c>
      <c r="F8" s="8">
        <f>Database!M7</f>
        <v>6250</v>
      </c>
      <c r="G8" s="8">
        <f>Database!O7</f>
        <v>1600</v>
      </c>
      <c r="H8" s="8">
        <f>Database!P7</f>
        <v>1250</v>
      </c>
      <c r="I8" s="8">
        <f>Database!S7</f>
        <v>900</v>
      </c>
      <c r="J8" s="8">
        <f>Database!U7</f>
        <v>0</v>
      </c>
      <c r="K8" s="8">
        <f>Database!V7</f>
        <v>0</v>
      </c>
      <c r="L8" s="8">
        <f t="shared" si="0"/>
        <v>25000</v>
      </c>
      <c r="M8" s="8">
        <f>Database!X7</f>
        <v>1800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1800</v>
      </c>
      <c r="R8" s="8">
        <f t="shared" si="2"/>
        <v>23200</v>
      </c>
      <c r="S8" s="9"/>
      <c r="T8" s="9"/>
      <c r="U8" s="9"/>
      <c r="V8" s="9"/>
    </row>
    <row r="9" spans="1:22" ht="15.75" x14ac:dyDescent="0.25">
      <c r="A9" s="8">
        <f t="shared" si="3"/>
        <v>5</v>
      </c>
      <c r="B9" s="8" t="str">
        <f>Database!A8</f>
        <v>Rijo Paul</v>
      </c>
      <c r="C9" s="8">
        <f>Database!I8</f>
        <v>22000</v>
      </c>
      <c r="D9" s="8">
        <f>Database!K8</f>
        <v>11000</v>
      </c>
      <c r="E9" s="8">
        <f>Database!L8</f>
        <v>2200</v>
      </c>
      <c r="F9" s="8">
        <f>Database!M8</f>
        <v>5500</v>
      </c>
      <c r="G9" s="8">
        <f>Database!O8</f>
        <v>1100</v>
      </c>
      <c r="H9" s="8">
        <f>Database!P8</f>
        <v>1250</v>
      </c>
      <c r="I9" s="8">
        <f>Database!S8</f>
        <v>950</v>
      </c>
      <c r="J9" s="8">
        <f>Database!U8</f>
        <v>2300</v>
      </c>
      <c r="K9" s="8">
        <f>Database!V8</f>
        <v>0</v>
      </c>
      <c r="L9" s="8">
        <f t="shared" si="0"/>
        <v>24300</v>
      </c>
      <c r="M9" s="8">
        <f>Database!X8</f>
        <v>1580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1580</v>
      </c>
      <c r="R9" s="8">
        <f t="shared" si="2"/>
        <v>22720</v>
      </c>
      <c r="S9" s="9"/>
      <c r="T9" s="9"/>
      <c r="U9" s="9"/>
      <c r="V9" s="9"/>
    </row>
    <row r="10" spans="1:22" ht="15.75" x14ac:dyDescent="0.25">
      <c r="A10" s="8">
        <f t="shared" si="3"/>
        <v>6</v>
      </c>
      <c r="B10" s="8" t="str">
        <f>Database!A9</f>
        <v>Joseph P</v>
      </c>
      <c r="C10" s="8">
        <f>Database!I9</f>
        <v>14000</v>
      </c>
      <c r="D10" s="8">
        <f>Database!K9</f>
        <v>7000</v>
      </c>
      <c r="E10" s="8">
        <f>Database!L9</f>
        <v>1400</v>
      </c>
      <c r="F10" s="8">
        <f>Database!M9</f>
        <v>3500</v>
      </c>
      <c r="G10" s="8">
        <f>Database!O9</f>
        <v>700</v>
      </c>
      <c r="H10" s="8">
        <f>Database!P9</f>
        <v>1250</v>
      </c>
      <c r="I10" s="8">
        <f>Database!S9</f>
        <v>150</v>
      </c>
      <c r="J10" s="8">
        <f>Database!U9</f>
        <v>2300</v>
      </c>
      <c r="K10" s="8">
        <f>Database!V9</f>
        <v>0</v>
      </c>
      <c r="L10" s="8">
        <f t="shared" si="0"/>
        <v>16300</v>
      </c>
      <c r="M10" s="8">
        <f>Database!X9</f>
        <v>1010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1010</v>
      </c>
      <c r="R10" s="8">
        <f t="shared" si="2"/>
        <v>15290</v>
      </c>
      <c r="S10" s="9"/>
      <c r="T10" s="9"/>
      <c r="U10" s="9"/>
      <c r="V10" s="9"/>
    </row>
    <row r="11" spans="1:22" ht="15.75" x14ac:dyDescent="0.25">
      <c r="A11" s="8">
        <f t="shared" si="3"/>
        <v>7</v>
      </c>
      <c r="B11" s="8" t="str">
        <f>Database!A10</f>
        <v>Aakash Patel</v>
      </c>
      <c r="C11" s="8">
        <f>Database!I10</f>
        <v>15000</v>
      </c>
      <c r="D11" s="8">
        <f>Database!K10</f>
        <v>7500</v>
      </c>
      <c r="E11" s="8">
        <f>Database!L10</f>
        <v>1500</v>
      </c>
      <c r="F11" s="8">
        <f>Database!M10</f>
        <v>3750</v>
      </c>
      <c r="G11" s="8">
        <f>Database!O10</f>
        <v>600</v>
      </c>
      <c r="H11" s="8">
        <f>Database!P10</f>
        <v>1200</v>
      </c>
      <c r="I11" s="8">
        <f>Database!S10</f>
        <v>450</v>
      </c>
      <c r="J11" s="8">
        <f>Database!U10</f>
        <v>0</v>
      </c>
      <c r="K11" s="8">
        <f>Database!V10</f>
        <v>0</v>
      </c>
      <c r="L11" s="8">
        <f t="shared" si="0"/>
        <v>15000</v>
      </c>
      <c r="M11" s="8">
        <f>Database!X10</f>
        <v>1080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1080</v>
      </c>
      <c r="R11" s="8">
        <f t="shared" si="2"/>
        <v>13920</v>
      </c>
      <c r="S11" s="9"/>
      <c r="T11" s="9"/>
      <c r="U11" s="9"/>
      <c r="V11" s="9"/>
    </row>
    <row r="12" spans="1:22" ht="15.75" x14ac:dyDescent="0.25">
      <c r="A12" s="8">
        <f t="shared" si="3"/>
        <v>8</v>
      </c>
      <c r="B12" s="8" t="str">
        <f>Database!A11</f>
        <v>Ganesh Rahu</v>
      </c>
      <c r="C12" s="8">
        <f>Database!I11</f>
        <v>14000</v>
      </c>
      <c r="D12" s="8">
        <f>Database!K11</f>
        <v>7000</v>
      </c>
      <c r="E12" s="8">
        <f>Database!L11</f>
        <v>1400</v>
      </c>
      <c r="F12" s="8">
        <f>Database!M11</f>
        <v>3500</v>
      </c>
      <c r="G12" s="8">
        <f>Database!O11</f>
        <v>600</v>
      </c>
      <c r="H12" s="8">
        <f>Database!P11</f>
        <v>1200</v>
      </c>
      <c r="I12" s="8">
        <f>Database!S11</f>
        <v>300</v>
      </c>
      <c r="J12" s="8">
        <f>Database!U11</f>
        <v>0</v>
      </c>
      <c r="K12" s="8">
        <f>Database!V11</f>
        <v>0</v>
      </c>
      <c r="L12" s="8">
        <f t="shared" si="0"/>
        <v>14000</v>
      </c>
      <c r="M12" s="8">
        <f>Database!X11</f>
        <v>1010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1010</v>
      </c>
      <c r="R12" s="8">
        <f t="shared" si="2"/>
        <v>12990</v>
      </c>
      <c r="S12" s="9"/>
      <c r="T12" s="9"/>
      <c r="U12" s="9"/>
      <c r="V12" s="9"/>
    </row>
    <row r="13" spans="1:22" ht="15.75" x14ac:dyDescent="0.25">
      <c r="A13" s="8">
        <f t="shared" si="3"/>
        <v>9</v>
      </c>
      <c r="B13" s="8" t="str">
        <f>Database!A12</f>
        <v>Vinudas K.S</v>
      </c>
      <c r="C13" s="8">
        <f>Database!I12</f>
        <v>14000</v>
      </c>
      <c r="D13" s="8">
        <f>Database!K12</f>
        <v>7000</v>
      </c>
      <c r="E13" s="8">
        <f>Database!L12</f>
        <v>1400</v>
      </c>
      <c r="F13" s="8">
        <f>Database!M12</f>
        <v>3500</v>
      </c>
      <c r="G13" s="8">
        <f>Database!O12</f>
        <v>700</v>
      </c>
      <c r="H13" s="8">
        <f>Database!P12</f>
        <v>1250</v>
      </c>
      <c r="I13" s="8">
        <f>Database!S12</f>
        <v>150</v>
      </c>
      <c r="J13" s="8">
        <f>Database!U12</f>
        <v>1500</v>
      </c>
      <c r="K13" s="8">
        <f>Database!V12</f>
        <v>0</v>
      </c>
      <c r="L13" s="8">
        <f t="shared" si="0"/>
        <v>15500</v>
      </c>
      <c r="M13" s="8">
        <f>Database!X12</f>
        <v>1010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1010</v>
      </c>
      <c r="R13" s="8">
        <f t="shared" si="2"/>
        <v>14490</v>
      </c>
      <c r="S13" s="9"/>
      <c r="T13" s="9"/>
      <c r="U13" s="9"/>
      <c r="V13" s="9"/>
    </row>
    <row r="14" spans="1:22" ht="15.75" x14ac:dyDescent="0.25">
      <c r="A14" s="8">
        <f t="shared" si="3"/>
        <v>10</v>
      </c>
      <c r="B14" s="8" t="str">
        <f>Database!A13</f>
        <v>Divya Kumar</v>
      </c>
      <c r="C14" s="8">
        <f>Database!I13</f>
        <v>8000</v>
      </c>
      <c r="D14" s="8">
        <f>Database!K13</f>
        <v>4000</v>
      </c>
      <c r="E14" s="8">
        <f>Database!L13</f>
        <v>800</v>
      </c>
      <c r="F14" s="8">
        <f>Database!M13</f>
        <v>2000</v>
      </c>
      <c r="G14" s="8">
        <f>Database!O13</f>
        <v>400</v>
      </c>
      <c r="H14" s="8">
        <f>Database!P13</f>
        <v>800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8000</v>
      </c>
      <c r="M14" s="8">
        <f>Database!X13</f>
        <v>580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580</v>
      </c>
      <c r="R14" s="8">
        <f t="shared" si="2"/>
        <v>7420</v>
      </c>
      <c r="S14" s="9"/>
      <c r="T14" s="9"/>
      <c r="U14" s="9"/>
      <c r="V14" s="9"/>
    </row>
    <row r="15" spans="1:22" ht="15.75" x14ac:dyDescent="0.25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41" t="s">
        <v>111</v>
      </c>
      <c r="Q15" s="42"/>
      <c r="R15" s="45">
        <f>SUM(R5:R14)</f>
        <v>222890</v>
      </c>
    </row>
    <row r="16" spans="1:22" ht="15.75" x14ac:dyDescent="0.25">
      <c r="A16" s="8"/>
      <c r="B16" s="38"/>
      <c r="C16" s="39"/>
      <c r="D16" s="39"/>
      <c r="E16" s="39"/>
      <c r="F16" s="39"/>
      <c r="G16" s="39"/>
      <c r="H16" s="39"/>
      <c r="I16" s="38"/>
      <c r="J16" s="39"/>
      <c r="K16" s="39"/>
      <c r="L16" s="39"/>
      <c r="M16" s="39"/>
      <c r="N16" s="39"/>
      <c r="O16" s="40"/>
      <c r="P16" s="43"/>
      <c r="Q16" s="44"/>
      <c r="R16" s="46"/>
    </row>
    <row r="17" spans="1:18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6"/>
      <c r="M17" s="47" t="str">
        <f>'Salary Slip'!B27</f>
        <v>Authorised by Managing Director</v>
      </c>
      <c r="N17" s="48"/>
      <c r="O17" s="48"/>
      <c r="P17" s="48"/>
      <c r="Q17" s="48"/>
      <c r="R17" s="49"/>
    </row>
    <row r="18" spans="1:18" x14ac:dyDescent="0.25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9"/>
      <c r="M18" s="12"/>
      <c r="N18" s="13"/>
      <c r="O18" s="14"/>
      <c r="P18" s="24"/>
      <c r="Q18" s="25"/>
      <c r="R18" s="26"/>
    </row>
    <row r="19" spans="1:18" ht="15.75" thickBot="1" x14ac:dyDescent="0.3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9"/>
      <c r="M19" s="15"/>
      <c r="N19" s="16"/>
      <c r="O19" s="17"/>
      <c r="P19" s="27"/>
      <c r="Q19" s="28"/>
      <c r="R19" s="29"/>
    </row>
    <row r="20" spans="1:18" x14ac:dyDescent="0.25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9"/>
      <c r="M20" s="18" t="str">
        <f>'Salary Slip'!G27</f>
        <v>Signature</v>
      </c>
      <c r="N20" s="19"/>
      <c r="O20" s="20"/>
      <c r="P20" s="27"/>
      <c r="Q20" s="28"/>
      <c r="R20" s="29"/>
    </row>
    <row r="21" spans="1:1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2"/>
      <c r="M21" s="21"/>
      <c r="N21" s="22"/>
      <c r="O21" s="23"/>
      <c r="P21" s="30"/>
      <c r="Q21" s="31"/>
      <c r="R21" s="32"/>
    </row>
  </sheetData>
  <mergeCells count="19">
    <mergeCell ref="P15:Q16"/>
    <mergeCell ref="R15:R16"/>
    <mergeCell ref="M17:R17"/>
    <mergeCell ref="M18:O19"/>
    <mergeCell ref="M20:O21"/>
    <mergeCell ref="P18:R21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17:L21"/>
    <mergeCell ref="A15:O15"/>
    <mergeCell ref="B16:H16"/>
    <mergeCell ref="I16:O16"/>
  </mergeCells>
  <conditionalFormatting sqref="A26:XFD1048576 A25 C25:J25 A22:XFD24 C21:J21 A21 P21:XFD21 L25:XFD25 N18:O19 A16:B16 A4:Q4 S4:XFD4 A2:XFD3 A17:L20 M17:M19 S16:XFD20 P18:R20 Q5:Q14 A5:P15 R5:XFD1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95250</xdr:colOff>
                <xdr:row>2</xdr:row>
                <xdr:rowOff>0</xdr:rowOff>
              </from>
              <to>
                <xdr:col>21</xdr:col>
                <xdr:colOff>133350</xdr:colOff>
                <xdr:row>3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"/>
  <sheetViews>
    <sheetView showGridLines="0" tabSelected="1" zoomScale="70" zoomScaleNormal="70" workbookViewId="0">
      <pane ySplit="30" topLeftCell="A63" activePane="bottomLeft" state="frozen"/>
      <selection pane="bottomLeft" activeCell="Q3" sqref="Q3"/>
    </sheetView>
  </sheetViews>
  <sheetFormatPr defaultColWidth="9.140625" defaultRowHeight="15.75" x14ac:dyDescent="0.25"/>
  <cols>
    <col min="1" max="1" width="5.42578125" style="1" customWidth="1"/>
    <col min="2" max="3" width="9.140625" style="1"/>
    <col min="4" max="4" width="9.28515625" style="1" customWidth="1"/>
    <col min="5" max="5" width="3.7109375" style="1" customWidth="1"/>
    <col min="6" max="6" width="10" style="1" customWidth="1"/>
    <col min="7" max="7" width="3.7109375" style="1" customWidth="1"/>
    <col min="8" max="8" width="10.140625" style="1" customWidth="1"/>
    <col min="9" max="9" width="4.28515625" style="1" customWidth="1"/>
    <col min="10" max="10" width="7" style="1" customWidth="1"/>
    <col min="11" max="11" width="9.140625" style="1"/>
    <col min="12" max="12" width="5.140625" style="1" customWidth="1"/>
    <col min="13" max="13" width="4.7109375" style="1" customWidth="1"/>
    <col min="14" max="14" width="6.7109375" style="1" customWidth="1"/>
    <col min="15" max="15" width="19.28515625" style="1" customWidth="1"/>
    <col min="16" max="16" width="35.140625" style="1" customWidth="1"/>
    <col min="17" max="17" width="24.28515625" style="1" bestFit="1" customWidth="1"/>
    <col min="18" max="19" width="9.140625" style="1" customWidth="1"/>
    <col min="20" max="20" width="16.140625" style="1" customWidth="1"/>
    <col min="21" max="23" width="9.140625" style="1" customWidth="1"/>
    <col min="24" max="16384" width="9.140625" style="1"/>
  </cols>
  <sheetData>
    <row r="1" spans="1:17" ht="41.25" customHeight="1" x14ac:dyDescent="0.25">
      <c r="A1" s="8"/>
      <c r="B1" s="51" t="str">
        <f>VLOOKUP(Q2,_xlnm.Database,36,FALSE)</f>
        <v>Udaipur Hotelier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8"/>
      <c r="O1" s="8"/>
      <c r="P1" s="8"/>
      <c r="Q1" s="8"/>
    </row>
    <row r="2" spans="1:17" ht="40.5" customHeight="1" x14ac:dyDescent="0.25">
      <c r="A2" s="8"/>
      <c r="B2" s="51" t="str">
        <f>PROPER(CONCATENATE("SALARY PAY SLIP FOR THE MONTH OF"&amp;" ",VLOOKUP(Q2,_xlnm.Database,3,FALSE)&amp;" ",VLOOKUP(Q2,_xlnm.Database,4,FALSE)))</f>
        <v>Salary Pay Slip For The Month Of December 0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8"/>
      <c r="O2" s="8"/>
      <c r="P2" s="8" t="s">
        <v>19</v>
      </c>
      <c r="Q2" s="8" t="s">
        <v>76</v>
      </c>
    </row>
    <row r="3" spans="1:17" ht="23.25" customHeight="1" x14ac:dyDescent="0.25">
      <c r="A3" s="8"/>
      <c r="B3" s="35"/>
      <c r="C3" s="36"/>
      <c r="D3" s="36"/>
      <c r="E3" s="36"/>
      <c r="F3" s="36"/>
      <c r="G3" s="36"/>
      <c r="H3" s="36"/>
      <c r="I3" s="36"/>
      <c r="J3" s="36"/>
      <c r="K3" s="36"/>
      <c r="L3" s="36"/>
      <c r="M3" s="37"/>
      <c r="N3" s="8"/>
      <c r="O3" s="8"/>
      <c r="P3" s="8" t="s">
        <v>54</v>
      </c>
      <c r="Q3" s="8" t="str">
        <f>VLOOKUP(Q2,_xlnm.Database,2,FALSE)</f>
        <v>Web Developer</v>
      </c>
    </row>
    <row r="4" spans="1:17" ht="21.75" customHeight="1" x14ac:dyDescent="0.25">
      <c r="A4" s="8"/>
      <c r="B4" s="8" t="s">
        <v>10</v>
      </c>
      <c r="C4" s="51" t="str">
        <f>VLOOKUP(Q2,_xlnm.Database,31,FALSE)&amp;"."&amp;VLOOKUP(Q2,_xlnm.Database,1,FALSE)</f>
        <v>Mrs.Divya Kumar</v>
      </c>
      <c r="D4" s="51"/>
      <c r="E4" s="8"/>
      <c r="F4" s="8"/>
      <c r="G4" s="51" t="str">
        <f>PROPER(P3)</f>
        <v>Designation</v>
      </c>
      <c r="H4" s="51"/>
      <c r="I4" s="51" t="str">
        <f>Q3</f>
        <v>Web Developer</v>
      </c>
      <c r="J4" s="51"/>
      <c r="K4" s="51"/>
      <c r="L4" s="51"/>
      <c r="M4" s="51"/>
      <c r="N4" s="8"/>
      <c r="O4" s="8"/>
      <c r="P4" s="8" t="s">
        <v>21</v>
      </c>
      <c r="Q4" s="8">
        <f>VLOOKUP(Q$2,_xlnm.Database,7,FALSE)</f>
        <v>2</v>
      </c>
    </row>
    <row r="5" spans="1:17" ht="21.75" customHeight="1" x14ac:dyDescent="0.25">
      <c r="A5" s="8" t="s">
        <v>6</v>
      </c>
      <c r="B5" s="51" t="s">
        <v>0</v>
      </c>
      <c r="C5" s="51"/>
      <c r="D5" s="51"/>
      <c r="E5" s="51"/>
      <c r="F5" s="51"/>
      <c r="G5" s="8" t="s">
        <v>1</v>
      </c>
      <c r="H5" s="8">
        <f>Q9</f>
        <v>4000</v>
      </c>
      <c r="I5" s="8" t="s">
        <v>2</v>
      </c>
      <c r="J5" s="8" t="s">
        <v>3</v>
      </c>
      <c r="K5" s="8"/>
      <c r="L5" s="8"/>
      <c r="M5" s="8">
        <f>MIN(30,Q5)</f>
        <v>30</v>
      </c>
      <c r="N5" s="8"/>
      <c r="O5" s="8"/>
      <c r="P5" s="8" t="s">
        <v>42</v>
      </c>
      <c r="Q5" s="8">
        <f>VLOOKUP(Q$2,_xlnm.Database,5,FALSE)</f>
        <v>30</v>
      </c>
    </row>
    <row r="6" spans="1:17" ht="21.75" customHeight="1" x14ac:dyDescent="0.25">
      <c r="A6" s="8" t="s">
        <v>7</v>
      </c>
      <c r="B6" s="51" t="s">
        <v>28</v>
      </c>
      <c r="C6" s="51"/>
      <c r="D6" s="51"/>
      <c r="E6" s="8" t="s">
        <v>1</v>
      </c>
      <c r="F6" s="8">
        <f t="shared" ref="F6:F12" si="0">Q10</f>
        <v>800</v>
      </c>
      <c r="G6" s="51"/>
      <c r="H6" s="51"/>
      <c r="I6" s="8" t="s">
        <v>5</v>
      </c>
      <c r="J6" s="8" t="s">
        <v>4</v>
      </c>
      <c r="K6" s="8"/>
      <c r="L6" s="8"/>
      <c r="M6" s="8">
        <f>Q4</f>
        <v>2</v>
      </c>
      <c r="N6" s="8"/>
      <c r="O6" s="8"/>
      <c r="P6" s="8" t="s">
        <v>44</v>
      </c>
      <c r="Q6" s="8">
        <f>VLOOKUP(Q$2,_xlnm.Database,6,FALSE)</f>
        <v>2</v>
      </c>
    </row>
    <row r="7" spans="1:17" ht="21.75" customHeight="1" x14ac:dyDescent="0.25">
      <c r="A7" s="8" t="s">
        <v>8</v>
      </c>
      <c r="B7" s="51" t="s">
        <v>32</v>
      </c>
      <c r="C7" s="51"/>
      <c r="D7" s="51"/>
      <c r="E7" s="8" t="s">
        <v>1</v>
      </c>
      <c r="F7" s="8">
        <f t="shared" si="0"/>
        <v>2000</v>
      </c>
      <c r="G7" s="51"/>
      <c r="H7" s="51"/>
      <c r="I7" s="8"/>
      <c r="J7" s="8" t="s">
        <v>14</v>
      </c>
      <c r="K7" s="8"/>
      <c r="L7" s="8"/>
      <c r="M7" s="8">
        <f>Q6</f>
        <v>2</v>
      </c>
      <c r="N7" s="8"/>
      <c r="O7" s="8"/>
      <c r="P7" s="8" t="s">
        <v>50</v>
      </c>
      <c r="Q7" s="8">
        <f>VLOOKUP(Q$2,_xlnm.Database,9,FALSE)</f>
        <v>8000</v>
      </c>
    </row>
    <row r="8" spans="1:17" ht="21.75" customHeight="1" x14ac:dyDescent="0.25">
      <c r="A8" s="8" t="s">
        <v>9</v>
      </c>
      <c r="B8" s="51" t="s">
        <v>30</v>
      </c>
      <c r="C8" s="51"/>
      <c r="D8" s="51"/>
      <c r="E8" s="8" t="s">
        <v>1</v>
      </c>
      <c r="F8" s="8">
        <f t="shared" si="0"/>
        <v>400</v>
      </c>
      <c r="G8" s="51"/>
      <c r="H8" s="51"/>
      <c r="I8" s="8"/>
      <c r="J8" s="8" t="s">
        <v>15</v>
      </c>
      <c r="K8" s="8"/>
      <c r="L8" s="8"/>
      <c r="M8" s="8">
        <f>IF(M6&lt;=M7,0,M6-M7)</f>
        <v>0</v>
      </c>
      <c r="N8" s="8"/>
      <c r="O8" s="8"/>
      <c r="P8" s="8"/>
      <c r="Q8" s="8"/>
    </row>
    <row r="9" spans="1:17" ht="21.75" customHeight="1" x14ac:dyDescent="0.25">
      <c r="A9" s="8" t="s">
        <v>11</v>
      </c>
      <c r="B9" s="51" t="s">
        <v>33</v>
      </c>
      <c r="C9" s="51"/>
      <c r="D9" s="51"/>
      <c r="E9" s="8" t="s">
        <v>1</v>
      </c>
      <c r="F9" s="8">
        <f t="shared" si="0"/>
        <v>0</v>
      </c>
      <c r="G9" s="51"/>
      <c r="H9" s="51"/>
      <c r="I9" s="8" t="s">
        <v>13</v>
      </c>
      <c r="J9" s="8" t="s">
        <v>12</v>
      </c>
      <c r="K9" s="8"/>
      <c r="L9" s="8"/>
      <c r="M9" s="8">
        <f>M5-M8</f>
        <v>30</v>
      </c>
      <c r="N9" s="8"/>
      <c r="O9" s="51" t="s">
        <v>41</v>
      </c>
      <c r="P9" s="8" t="s">
        <v>26</v>
      </c>
      <c r="Q9" s="8">
        <f>VLOOKUP(Q$2,_xlnm.Database,11,FALSE)</f>
        <v>4000</v>
      </c>
    </row>
    <row r="10" spans="1:17" ht="21.75" customHeight="1" x14ac:dyDescent="0.25">
      <c r="A10" s="8" t="s">
        <v>36</v>
      </c>
      <c r="B10" s="51" t="s">
        <v>35</v>
      </c>
      <c r="C10" s="51"/>
      <c r="D10" s="51"/>
      <c r="E10" s="8" t="s">
        <v>1</v>
      </c>
      <c r="F10" s="8">
        <f t="shared" si="0"/>
        <v>0</v>
      </c>
      <c r="G10" s="51"/>
      <c r="H10" s="51"/>
      <c r="I10" s="51"/>
      <c r="J10" s="51"/>
      <c r="K10" s="51"/>
      <c r="L10" s="51"/>
      <c r="M10" s="51"/>
      <c r="N10" s="8"/>
      <c r="O10" s="51"/>
      <c r="P10" s="8" t="s">
        <v>27</v>
      </c>
      <c r="Q10" s="8">
        <f>VLOOKUP(Q$2,_xlnm.Database,12,FALSE)</f>
        <v>800</v>
      </c>
    </row>
    <row r="11" spans="1:17" ht="21.75" customHeight="1" x14ac:dyDescent="0.25">
      <c r="A11" s="8" t="s">
        <v>37</v>
      </c>
      <c r="B11" s="51" t="s">
        <v>38</v>
      </c>
      <c r="C11" s="51"/>
      <c r="D11" s="51"/>
      <c r="E11" s="8" t="s">
        <v>1</v>
      </c>
      <c r="F11" s="8">
        <f t="shared" si="0"/>
        <v>0</v>
      </c>
      <c r="G11" s="51"/>
      <c r="H11" s="51"/>
      <c r="I11" s="51"/>
      <c r="J11" s="51"/>
      <c r="K11" s="51"/>
      <c r="L11" s="51"/>
      <c r="M11" s="51"/>
      <c r="N11" s="8"/>
      <c r="O11" s="51"/>
      <c r="P11" s="8" t="s">
        <v>24</v>
      </c>
      <c r="Q11" s="8">
        <f>VLOOKUP(Q$2,_xlnm.Database,13,FALSE)</f>
        <v>2000</v>
      </c>
    </row>
    <row r="12" spans="1:17" ht="21.75" customHeight="1" x14ac:dyDescent="0.25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>
        <f t="shared" si="0"/>
        <v>0</v>
      </c>
      <c r="G12" s="51"/>
      <c r="H12" s="51"/>
      <c r="I12" s="51"/>
      <c r="J12" s="51"/>
      <c r="K12" s="51"/>
      <c r="L12" s="51"/>
      <c r="M12" s="51"/>
      <c r="N12" s="8"/>
      <c r="O12" s="51"/>
      <c r="P12" s="8" t="s">
        <v>29</v>
      </c>
      <c r="Q12" s="8">
        <f>VLOOKUP(Q$2,_xlnm.Database,15,FALSE)</f>
        <v>400</v>
      </c>
    </row>
    <row r="13" spans="1:17" ht="21.75" customHeight="1" x14ac:dyDescent="0.25">
      <c r="A13" s="8"/>
      <c r="B13" s="51" t="s">
        <v>49</v>
      </c>
      <c r="C13" s="51"/>
      <c r="D13" s="51"/>
      <c r="E13" s="51"/>
      <c r="F13" s="51"/>
      <c r="G13" s="8" t="s">
        <v>1</v>
      </c>
      <c r="H13" s="8">
        <f>SUM(F6:F12)</f>
        <v>3200</v>
      </c>
      <c r="I13" s="51"/>
      <c r="J13" s="51"/>
      <c r="K13" s="51"/>
      <c r="L13" s="51"/>
      <c r="M13" s="51"/>
      <c r="N13" s="8"/>
      <c r="O13" s="51"/>
      <c r="P13" s="8" t="s">
        <v>31</v>
      </c>
      <c r="Q13" s="8">
        <f>VLOOKUP(Q$2,_xlnm.Database,17,FALSE)</f>
        <v>0</v>
      </c>
    </row>
    <row r="14" spans="1:17" ht="21.75" customHeight="1" x14ac:dyDescent="0.25">
      <c r="A14" s="8"/>
      <c r="B14" s="51"/>
      <c r="C14" s="51"/>
      <c r="D14" s="51"/>
      <c r="E14" s="51"/>
      <c r="F14" s="51"/>
      <c r="G14" s="8"/>
      <c r="H14" s="8">
        <f>H5+H13</f>
        <v>7200</v>
      </c>
      <c r="I14" s="51"/>
      <c r="J14" s="51"/>
      <c r="K14" s="51"/>
      <c r="L14" s="51"/>
      <c r="M14" s="51"/>
      <c r="N14" s="8"/>
      <c r="O14" s="51"/>
      <c r="P14" s="8" t="s">
        <v>34</v>
      </c>
      <c r="Q14" s="8">
        <f>VLOOKUP(Q$2,_xlnm.Database,19,FALSE)</f>
        <v>0</v>
      </c>
    </row>
    <row r="15" spans="1:17" ht="21.75" customHeight="1" x14ac:dyDescent="0.25">
      <c r="A15" s="8"/>
      <c r="B15" s="8" t="s">
        <v>53</v>
      </c>
      <c r="C15" s="8"/>
      <c r="D15" s="8"/>
      <c r="E15" s="8"/>
      <c r="F15" s="8"/>
      <c r="G15" s="8"/>
      <c r="H15" s="8"/>
      <c r="I15" s="51"/>
      <c r="J15" s="51"/>
      <c r="K15" s="51"/>
      <c r="L15" s="51"/>
      <c r="M15" s="51"/>
      <c r="N15" s="8"/>
      <c r="O15" s="51"/>
      <c r="P15" s="8" t="s">
        <v>23</v>
      </c>
      <c r="Q15" s="8">
        <f>VLOOKUP(Q$2,_xlnm.Database,21,FALSE)</f>
        <v>0</v>
      </c>
    </row>
    <row r="16" spans="1:17" ht="21.75" customHeight="1" x14ac:dyDescent="0.25">
      <c r="A16" s="8"/>
      <c r="B16" s="51" t="s">
        <v>45</v>
      </c>
      <c r="C16" s="51"/>
      <c r="D16" s="51"/>
      <c r="E16" s="8" t="s">
        <v>1</v>
      </c>
      <c r="F16" s="8">
        <f>Q18</f>
        <v>580</v>
      </c>
      <c r="G16" s="8"/>
      <c r="H16" s="8"/>
      <c r="I16" s="51"/>
      <c r="J16" s="51"/>
      <c r="K16" s="51"/>
      <c r="L16" s="51"/>
      <c r="M16" s="51"/>
      <c r="N16" s="8"/>
      <c r="O16" s="51"/>
      <c r="P16" s="8" t="s">
        <v>39</v>
      </c>
      <c r="Q16" s="8">
        <f>VLOOKUP(Q$2,_xlnm.Database,22,FALSE)</f>
        <v>0</v>
      </c>
    </row>
    <row r="17" spans="1:17" ht="21.75" customHeight="1" x14ac:dyDescent="0.25">
      <c r="A17" s="8"/>
      <c r="B17" s="51" t="s">
        <v>95</v>
      </c>
      <c r="C17" s="51"/>
      <c r="D17" s="51"/>
      <c r="E17" s="8" t="s">
        <v>1</v>
      </c>
      <c r="F17" s="8">
        <f>Q21</f>
        <v>0</v>
      </c>
      <c r="G17" s="8"/>
      <c r="H17" s="8"/>
      <c r="I17" s="51"/>
      <c r="J17" s="51"/>
      <c r="K17" s="51"/>
      <c r="L17" s="51"/>
      <c r="M17" s="51"/>
      <c r="N17" s="8"/>
      <c r="O17" s="8"/>
      <c r="P17" s="8" t="str">
        <f>CONCATENATE("TOTAL"," " &amp; O9)</f>
        <v>TOTAL ADDITIONS</v>
      </c>
      <c r="Q17" s="8">
        <f>SUM(Q9:Q16)</f>
        <v>7200</v>
      </c>
    </row>
    <row r="18" spans="1:17" ht="21.75" customHeight="1" x14ac:dyDescent="0.25">
      <c r="A18" s="8"/>
      <c r="B18" s="51" t="s">
        <v>94</v>
      </c>
      <c r="C18" s="51"/>
      <c r="D18" s="51"/>
      <c r="E18" s="8" t="s">
        <v>1</v>
      </c>
      <c r="F18" s="8">
        <f>Q19</f>
        <v>0</v>
      </c>
      <c r="G18" s="8"/>
      <c r="H18" s="8"/>
      <c r="I18" s="51"/>
      <c r="J18" s="51"/>
      <c r="K18" s="51"/>
      <c r="L18" s="51"/>
      <c r="M18" s="51"/>
      <c r="N18" s="8"/>
      <c r="O18" s="51" t="s">
        <v>20</v>
      </c>
      <c r="P18" s="8" t="s">
        <v>43</v>
      </c>
      <c r="Q18" s="8">
        <f>VLOOKUP(Q$2,_xlnm.Database,24,FALSE)</f>
        <v>580</v>
      </c>
    </row>
    <row r="19" spans="1:17" ht="21.75" customHeight="1" x14ac:dyDescent="0.25">
      <c r="A19" s="8"/>
      <c r="B19" s="51" t="s">
        <v>47</v>
      </c>
      <c r="C19" s="51"/>
      <c r="D19" s="51"/>
      <c r="E19" s="8" t="s">
        <v>1</v>
      </c>
      <c r="F19" s="8">
        <f>Q20</f>
        <v>0</v>
      </c>
      <c r="G19" s="8"/>
      <c r="H19" s="8"/>
      <c r="I19" s="51"/>
      <c r="J19" s="51"/>
      <c r="K19" s="51"/>
      <c r="L19" s="51"/>
      <c r="M19" s="51"/>
      <c r="N19" s="8"/>
      <c r="O19" s="51"/>
      <c r="P19" s="8" t="s">
        <v>93</v>
      </c>
      <c r="Q19" s="8">
        <f>VLOOKUP(Q$2,_xlnm.Database,25,FALSE)</f>
        <v>0</v>
      </c>
    </row>
    <row r="20" spans="1:17" ht="21.75" customHeight="1" x14ac:dyDescent="0.25">
      <c r="A20" s="8"/>
      <c r="B20" s="51" t="s">
        <v>48</v>
      </c>
      <c r="C20" s="51"/>
      <c r="D20" s="51"/>
      <c r="E20" s="8"/>
      <c r="F20" s="8">
        <f>SUM(F16:F19)</f>
        <v>580</v>
      </c>
      <c r="G20" s="8"/>
      <c r="H20" s="8"/>
      <c r="I20" s="51"/>
      <c r="J20" s="51"/>
      <c r="K20" s="51"/>
      <c r="L20" s="51"/>
      <c r="M20" s="51"/>
      <c r="N20" s="8"/>
      <c r="O20" s="51"/>
      <c r="P20" s="8" t="s">
        <v>46</v>
      </c>
      <c r="Q20" s="8">
        <f>VLOOKUP(Q$2,_xlnm.Database,26,FALSE)</f>
        <v>0</v>
      </c>
    </row>
    <row r="21" spans="1:17" ht="21.75" customHeight="1" x14ac:dyDescent="0.25">
      <c r="A21" s="8"/>
      <c r="B21" s="51" t="s">
        <v>48</v>
      </c>
      <c r="C21" s="51"/>
      <c r="D21" s="51"/>
      <c r="E21" s="51"/>
      <c r="F21" s="51"/>
      <c r="G21" s="8" t="s">
        <v>1</v>
      </c>
      <c r="H21" s="8">
        <f>ROUND(F20,-1)</f>
        <v>580</v>
      </c>
      <c r="I21" s="51"/>
      <c r="J21" s="51"/>
      <c r="K21" s="51"/>
      <c r="L21" s="51"/>
      <c r="M21" s="51"/>
      <c r="N21" s="8"/>
      <c r="O21" s="51"/>
      <c r="P21" s="8" t="s">
        <v>22</v>
      </c>
      <c r="Q21" s="8">
        <f>VLOOKUP(Q$2,_xlnm.Database,27,FALSE)</f>
        <v>0</v>
      </c>
    </row>
    <row r="22" spans="1:17" ht="21.75" customHeight="1" x14ac:dyDescent="0.25">
      <c r="A22" s="8"/>
      <c r="B22" s="51"/>
      <c r="C22" s="51"/>
      <c r="D22" s="51"/>
      <c r="E22" s="51"/>
      <c r="F22" s="51"/>
      <c r="G22" s="8"/>
      <c r="H22" s="8"/>
      <c r="I22" s="51"/>
      <c r="J22" s="51"/>
      <c r="K22" s="51"/>
      <c r="L22" s="51"/>
      <c r="M22" s="51"/>
      <c r="N22" s="8"/>
      <c r="O22" s="51"/>
      <c r="P22" s="8" t="str">
        <f>CONCATENATE("TOTAL"," " &amp; O18)</f>
        <v>TOTAL DEDUCTIONS</v>
      </c>
      <c r="Q22" s="8">
        <f>SUM(Q18:Q21)</f>
        <v>580</v>
      </c>
    </row>
    <row r="23" spans="1:17" ht="21.75" customHeight="1" x14ac:dyDescent="0.25">
      <c r="A23" s="8"/>
      <c r="B23" s="51" t="s">
        <v>16</v>
      </c>
      <c r="C23" s="51"/>
      <c r="D23" s="51"/>
      <c r="E23" s="8"/>
      <c r="F23" s="8"/>
      <c r="G23" s="8"/>
      <c r="H23" s="8">
        <f>H14-H21</f>
        <v>6620</v>
      </c>
      <c r="I23" s="51"/>
      <c r="J23" s="51"/>
      <c r="K23" s="51"/>
      <c r="L23" s="51"/>
      <c r="M23" s="51"/>
      <c r="N23" s="8"/>
      <c r="O23" s="8"/>
      <c r="P23" s="8"/>
      <c r="Q23" s="8"/>
    </row>
    <row r="24" spans="1:17" ht="21.75" customHeight="1" x14ac:dyDescent="0.25">
      <c r="A24" s="8"/>
      <c r="B24" s="51" t="s">
        <v>17</v>
      </c>
      <c r="C24" s="51"/>
      <c r="D24" s="51"/>
      <c r="E24" s="51"/>
      <c r="F24" s="51"/>
      <c r="G24" s="8" t="s">
        <v>18</v>
      </c>
      <c r="H24" s="8">
        <f>Q21</f>
        <v>0</v>
      </c>
      <c r="I24" s="52" t="str">
        <f>SpellNumber(H25)</f>
        <v xml:space="preserve">Six Thousand Six Hundred Twenty Only </v>
      </c>
      <c r="J24" s="52"/>
      <c r="K24" s="52"/>
      <c r="L24" s="52"/>
      <c r="M24" s="52"/>
      <c r="N24" s="8"/>
      <c r="O24" s="8"/>
      <c r="P24" s="8"/>
      <c r="Q24" s="8"/>
    </row>
    <row r="25" spans="1:17" ht="21.75" customHeight="1" x14ac:dyDescent="0.25">
      <c r="A25" s="8"/>
      <c r="B25" s="51" t="s">
        <v>52</v>
      </c>
      <c r="C25" s="51"/>
      <c r="D25" s="51"/>
      <c r="E25" s="51"/>
      <c r="F25" s="51"/>
      <c r="G25" s="8"/>
      <c r="H25" s="8">
        <f>H23-H24</f>
        <v>6620</v>
      </c>
      <c r="I25" s="52"/>
      <c r="J25" s="52"/>
      <c r="K25" s="52"/>
      <c r="L25" s="52"/>
      <c r="M25" s="52"/>
      <c r="N25" s="8"/>
      <c r="O25" s="8"/>
      <c r="P25" s="8"/>
      <c r="Q25" s="8"/>
    </row>
    <row r="27" spans="1:17" ht="27" customHeight="1" x14ac:dyDescent="0.25">
      <c r="B27" s="50" t="str">
        <f>CONCATENATE("Authorised by" &amp;" ",Database!AF4)</f>
        <v>Authorised by Managing Director</v>
      </c>
      <c r="C27" s="50"/>
      <c r="D27" s="50"/>
      <c r="E27" s="50"/>
      <c r="F27" s="50"/>
      <c r="G27" s="50" t="s">
        <v>89</v>
      </c>
      <c r="H27" s="50"/>
      <c r="I27" s="1" t="s">
        <v>90</v>
      </c>
    </row>
  </sheetData>
  <mergeCells count="32"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  <mergeCell ref="B3:M3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80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autoLine="0" linkedCell="Q2" listFillRange="Database!A4:A38" r:id="rId5">
            <anchor moveWithCells="1">
              <from>
                <xdr:col>16</xdr:col>
                <xdr:colOff>66675</xdr:colOff>
                <xdr:row>0</xdr:row>
                <xdr:rowOff>171450</xdr:rowOff>
              </from>
              <to>
                <xdr:col>16</xdr:col>
                <xdr:colOff>1514475</xdr:colOff>
                <xdr:row>0</xdr:row>
                <xdr:rowOff>476250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34" r:id="rId6" name="CommandButton1">
          <controlPr autoFill="0" autoLine="0" r:id="rId7">
            <anchor moveWithCells="1">
              <from>
                <xdr:col>17</xdr:col>
                <xdr:colOff>123825</xdr:colOff>
                <xdr:row>5</xdr:row>
                <xdr:rowOff>95250</xdr:rowOff>
              </from>
              <to>
                <xdr:col>19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ommandButton2">
          <controlPr autoFill="0" autoLine="0" r:id="rId9">
            <anchor moveWithCells="1">
              <from>
                <xdr:col>17</xdr:col>
                <xdr:colOff>123825</xdr:colOff>
                <xdr:row>7</xdr:row>
                <xdr:rowOff>152400</xdr:rowOff>
              </from>
              <to>
                <xdr:col>19</xdr:col>
                <xdr:colOff>571500</xdr:colOff>
                <xdr:row>8</xdr:row>
                <xdr:rowOff>219075</xdr:rowOff>
              </to>
            </anchor>
          </controlPr>
        </control>
      </mc:Choice>
      <mc:Fallback>
        <control shapeId="1035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3">
          <controlPr autoFill="0" autoLine="0" r:id="rId11">
            <anchor moveWithCells="1">
              <from>
                <xdr:col>17</xdr:col>
                <xdr:colOff>114300</xdr:colOff>
                <xdr:row>10</xdr:row>
                <xdr:rowOff>57150</xdr:rowOff>
              </from>
              <to>
                <xdr:col>19</xdr:col>
                <xdr:colOff>561975</xdr:colOff>
                <xdr:row>11</xdr:row>
                <xdr:rowOff>114300</xdr:rowOff>
              </to>
            </anchor>
          </controlPr>
        </control>
      </mc:Choice>
      <mc:Fallback>
        <control shapeId="1036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dell</cp:lastModifiedBy>
  <cp:lastPrinted>2024-12-25T10:57:33Z</cp:lastPrinted>
  <dcterms:created xsi:type="dcterms:W3CDTF">2006-10-03T13:52:57Z</dcterms:created>
  <dcterms:modified xsi:type="dcterms:W3CDTF">2024-12-25T11:19:07Z</dcterms:modified>
</cp:coreProperties>
</file>